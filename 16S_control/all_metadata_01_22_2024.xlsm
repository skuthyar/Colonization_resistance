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ahanakuthyar/Documents/PIG/Bioreactor/CR_Jan_2023/CR_full_qpcr/"/>
    </mc:Choice>
  </mc:AlternateContent>
  <xr:revisionPtr revIDLastSave="0" documentId="13_ncr:1_{B8D83F3B-71D4-0B40-B596-0526AB77B94D}" xr6:coauthVersionLast="47" xr6:coauthVersionMax="47" xr10:uidLastSave="{00000000-0000-0000-0000-000000000000}"/>
  <bookViews>
    <workbookView xWindow="0" yWindow="1040" windowWidth="28800" windowHeight="15560" xr2:uid="{00000000-000D-0000-FFFF-FFFF00000000}"/>
  </bookViews>
  <sheets>
    <sheet name="all_metadata_01_22_2024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85" i="1" l="1"/>
  <c r="E885" i="1"/>
  <c r="D885" i="1"/>
  <c r="M871" i="1"/>
  <c r="E871" i="1"/>
  <c r="D871" i="1"/>
  <c r="M861" i="1"/>
  <c r="E861" i="1"/>
  <c r="D861" i="1"/>
  <c r="M852" i="1"/>
  <c r="E852" i="1"/>
  <c r="D852" i="1"/>
  <c r="M842" i="1"/>
  <c r="E842" i="1"/>
  <c r="D842" i="1"/>
  <c r="M833" i="1"/>
  <c r="E833" i="1"/>
  <c r="D833" i="1"/>
  <c r="M823" i="1"/>
  <c r="E823" i="1"/>
  <c r="D823" i="1"/>
  <c r="M813" i="1"/>
  <c r="E813" i="1"/>
  <c r="D813" i="1"/>
  <c r="M803" i="1"/>
  <c r="E803" i="1"/>
  <c r="D803" i="1"/>
  <c r="M793" i="1"/>
  <c r="E793" i="1"/>
  <c r="D793" i="1"/>
  <c r="E783" i="1"/>
  <c r="D783" i="1"/>
  <c r="M784" i="1"/>
  <c r="M783" i="1"/>
  <c r="M762" i="1"/>
  <c r="E762" i="1"/>
  <c r="D762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3" i="1"/>
  <c r="M314" i="1"/>
  <c r="M315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54" i="1"/>
  <c r="M755" i="1"/>
  <c r="M756" i="1"/>
  <c r="M757" i="1"/>
  <c r="M758" i="1"/>
  <c r="M759" i="1"/>
  <c r="M760" i="1"/>
  <c r="M761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5" i="1"/>
  <c r="M786" i="1"/>
  <c r="M787" i="1"/>
  <c r="M788" i="1"/>
  <c r="M789" i="1"/>
  <c r="M790" i="1"/>
  <c r="M791" i="1"/>
  <c r="M792" i="1"/>
  <c r="M794" i="1"/>
  <c r="M795" i="1"/>
  <c r="M796" i="1"/>
  <c r="M797" i="1"/>
  <c r="M798" i="1"/>
  <c r="M799" i="1"/>
  <c r="M800" i="1"/>
  <c r="M801" i="1"/>
  <c r="M802" i="1"/>
  <c r="M804" i="1"/>
  <c r="M805" i="1"/>
  <c r="M806" i="1"/>
  <c r="M807" i="1"/>
  <c r="M808" i="1"/>
  <c r="M809" i="1"/>
  <c r="M810" i="1"/>
  <c r="M811" i="1"/>
  <c r="M812" i="1"/>
  <c r="M814" i="1"/>
  <c r="M815" i="1"/>
  <c r="M816" i="1"/>
  <c r="M817" i="1"/>
  <c r="M818" i="1"/>
  <c r="M819" i="1"/>
  <c r="M820" i="1"/>
  <c r="M821" i="1"/>
  <c r="M822" i="1"/>
  <c r="M824" i="1"/>
  <c r="M825" i="1"/>
  <c r="M826" i="1"/>
  <c r="M827" i="1"/>
  <c r="M828" i="1"/>
  <c r="M829" i="1"/>
  <c r="M830" i="1"/>
  <c r="M831" i="1"/>
  <c r="M832" i="1"/>
  <c r="M834" i="1"/>
  <c r="M835" i="1"/>
  <c r="M836" i="1"/>
  <c r="M837" i="1"/>
  <c r="M838" i="1"/>
  <c r="M839" i="1"/>
  <c r="M840" i="1"/>
  <c r="M841" i="1"/>
  <c r="M843" i="1"/>
  <c r="M844" i="1"/>
  <c r="M845" i="1"/>
  <c r="M846" i="1"/>
  <c r="M847" i="1"/>
  <c r="M848" i="1"/>
  <c r="M849" i="1"/>
  <c r="M850" i="1"/>
  <c r="M851" i="1"/>
  <c r="M853" i="1"/>
  <c r="M854" i="1"/>
  <c r="M855" i="1"/>
  <c r="M856" i="1"/>
  <c r="M857" i="1"/>
  <c r="M858" i="1"/>
  <c r="M859" i="1"/>
  <c r="M860" i="1"/>
  <c r="M862" i="1"/>
  <c r="M863" i="1"/>
  <c r="M864" i="1"/>
  <c r="M865" i="1"/>
  <c r="M866" i="1"/>
  <c r="M867" i="1"/>
  <c r="M868" i="1"/>
  <c r="M869" i="1"/>
  <c r="M870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9" i="1"/>
  <c r="E991" i="1"/>
  <c r="E992" i="1"/>
  <c r="E990" i="1"/>
  <c r="E977" i="1"/>
  <c r="Q977" i="1" s="1"/>
  <c r="E972" i="1"/>
  <c r="Q972" i="1" s="1"/>
  <c r="E948" i="1"/>
  <c r="E949" i="1"/>
  <c r="Q949" i="1" s="1"/>
  <c r="E947" i="1"/>
  <c r="Q947" i="1" s="1"/>
  <c r="E921" i="1"/>
  <c r="E922" i="1"/>
  <c r="E923" i="1"/>
  <c r="E924" i="1"/>
  <c r="E925" i="1"/>
  <c r="E920" i="1"/>
  <c r="K921" i="1" s="1"/>
  <c r="E898" i="1"/>
  <c r="E899" i="1"/>
  <c r="E897" i="1"/>
  <c r="K898" i="1" s="1"/>
  <c r="E874" i="1"/>
  <c r="E875" i="1"/>
  <c r="Q875" i="1" s="1"/>
  <c r="E873" i="1"/>
  <c r="Q873" i="1" s="1"/>
  <c r="E769" i="1"/>
  <c r="E770" i="1"/>
  <c r="I769" i="1" s="1"/>
  <c r="E771" i="1"/>
  <c r="E772" i="1"/>
  <c r="E773" i="1"/>
  <c r="E768" i="1"/>
  <c r="E765" i="1"/>
  <c r="E766" i="1"/>
  <c r="I765" i="1" s="1"/>
  <c r="E764" i="1"/>
  <c r="K765" i="1" s="1"/>
  <c r="E729" i="1"/>
  <c r="E730" i="1"/>
  <c r="Q730" i="1" s="1"/>
  <c r="E728" i="1"/>
  <c r="K729" i="1" s="1"/>
  <c r="E722" i="1"/>
  <c r="E723" i="1"/>
  <c r="E724" i="1"/>
  <c r="K725" i="1" s="1"/>
  <c r="E725" i="1"/>
  <c r="E726" i="1"/>
  <c r="I725" i="1" s="1"/>
  <c r="E721" i="1"/>
  <c r="E689" i="1"/>
  <c r="E690" i="1"/>
  <c r="Q690" i="1" s="1"/>
  <c r="E688" i="1"/>
  <c r="Q688" i="1" s="1"/>
  <c r="E665" i="1"/>
  <c r="E666" i="1"/>
  <c r="E664" i="1"/>
  <c r="Q664" i="1" s="1"/>
  <c r="E641" i="1"/>
  <c r="E642" i="1"/>
  <c r="E640" i="1"/>
  <c r="E614" i="1"/>
  <c r="E615" i="1"/>
  <c r="Q615" i="1" s="1"/>
  <c r="E616" i="1"/>
  <c r="Q616" i="1" s="1"/>
  <c r="E617" i="1"/>
  <c r="Q617" i="1" s="1"/>
  <c r="E618" i="1"/>
  <c r="E613" i="1"/>
  <c r="Q613" i="1" s="1"/>
  <c r="E559" i="1"/>
  <c r="E560" i="1"/>
  <c r="Q560" i="1" s="1"/>
  <c r="E558" i="1"/>
  <c r="E526" i="1"/>
  <c r="E527" i="1"/>
  <c r="E528" i="1"/>
  <c r="E529" i="1"/>
  <c r="E530" i="1"/>
  <c r="E525" i="1"/>
  <c r="Q448" i="1"/>
  <c r="Q446" i="1"/>
  <c r="E447" i="1"/>
  <c r="E448" i="1"/>
  <c r="E446" i="1"/>
  <c r="E424" i="1"/>
  <c r="E425" i="1"/>
  <c r="Q425" i="1" s="1"/>
  <c r="E423" i="1"/>
  <c r="Q423" i="1" s="1"/>
  <c r="E420" i="1"/>
  <c r="E421" i="1"/>
  <c r="E419" i="1"/>
  <c r="E406" i="1"/>
  <c r="E407" i="1"/>
  <c r="E405" i="1"/>
  <c r="E389" i="1"/>
  <c r="E390" i="1"/>
  <c r="E391" i="1"/>
  <c r="K392" i="1" s="1"/>
  <c r="E392" i="1"/>
  <c r="E393" i="1"/>
  <c r="I392" i="1" s="1"/>
  <c r="E388" i="1"/>
  <c r="E366" i="1"/>
  <c r="E367" i="1"/>
  <c r="E365" i="1"/>
  <c r="E362" i="1"/>
  <c r="E363" i="1"/>
  <c r="E361" i="1"/>
  <c r="E328" i="1"/>
  <c r="E329" i="1"/>
  <c r="Q329" i="1" s="1"/>
  <c r="E327" i="1"/>
  <c r="Q327" i="1" s="1"/>
  <c r="Q286" i="1"/>
  <c r="Q284" i="1"/>
  <c r="E285" i="1"/>
  <c r="E286" i="1"/>
  <c r="E284" i="1"/>
  <c r="Q228" i="1"/>
  <c r="E179" i="1"/>
  <c r="E180" i="1"/>
  <c r="E178" i="1"/>
  <c r="E128" i="1"/>
  <c r="E129" i="1"/>
  <c r="E127" i="1"/>
  <c r="E75" i="1"/>
  <c r="E76" i="1"/>
  <c r="E74" i="1"/>
  <c r="E62" i="1"/>
  <c r="E63" i="1"/>
  <c r="E61" i="1"/>
  <c r="E46" i="1"/>
  <c r="E47" i="1"/>
  <c r="E45" i="1"/>
  <c r="E320" i="1"/>
  <c r="Q320" i="1" s="1"/>
  <c r="E323" i="1"/>
  <c r="Q323" i="1" s="1"/>
  <c r="Q129" i="1" l="1"/>
  <c r="Q407" i="1"/>
  <c r="Q922" i="1"/>
  <c r="Q992" i="1"/>
  <c r="Q419" i="1"/>
  <c r="Q361" i="1"/>
  <c r="Q421" i="1"/>
  <c r="Q899" i="1"/>
  <c r="K948" i="1"/>
  <c r="Q47" i="1"/>
  <c r="Q127" i="1"/>
  <c r="Q363" i="1"/>
  <c r="Q768" i="1"/>
  <c r="Q920" i="1"/>
  <c r="Q897" i="1"/>
  <c r="Q990" i="1"/>
  <c r="Q75" i="1"/>
  <c r="Q724" i="1"/>
  <c r="Q74" i="1"/>
  <c r="I948" i="1"/>
  <c r="I991" i="1"/>
  <c r="Q45" i="1"/>
  <c r="Q405" i="1"/>
  <c r="I898" i="1"/>
  <c r="I874" i="1"/>
  <c r="Q772" i="1"/>
  <c r="K874" i="1"/>
  <c r="Q61" i="1"/>
  <c r="Q728" i="1"/>
  <c r="Q771" i="1"/>
  <c r="Q393" i="1"/>
  <c r="I729" i="1"/>
  <c r="K973" i="1"/>
  <c r="K991" i="1"/>
  <c r="K769" i="1"/>
  <c r="K773" i="1"/>
  <c r="Q764" i="1"/>
  <c r="Q63" i="1"/>
  <c r="Q770" i="1"/>
  <c r="Q391" i="1"/>
  <c r="Q726" i="1"/>
</calcChain>
</file>

<file path=xl/sharedStrings.xml><?xml version="1.0" encoding="utf-8"?>
<sst xmlns="http://schemas.openxmlformats.org/spreadsheetml/2006/main" count="11531" uniqueCount="1175">
  <si>
    <t>Sampleid</t>
  </si>
  <si>
    <t>Avg_SQ</t>
  </si>
  <si>
    <t>Challenger_abundance</t>
  </si>
  <si>
    <t>Challenger_abundance_cells</t>
  </si>
  <si>
    <t>Challenger</t>
  </si>
  <si>
    <t>Treatment</t>
  </si>
  <si>
    <t>Challenged_ResCat</t>
  </si>
  <si>
    <t>Challenged_ResAbund</t>
  </si>
  <si>
    <t>ABX_ResCat</t>
  </si>
  <si>
    <t>ABX_ResAbund</t>
  </si>
  <si>
    <t>Domcat</t>
  </si>
  <si>
    <t>Genetics</t>
  </si>
  <si>
    <t>Population</t>
  </si>
  <si>
    <t>Individual</t>
  </si>
  <si>
    <t>Abundance_minusControl_copiesml</t>
  </si>
  <si>
    <t>blank1_S</t>
  </si>
  <si>
    <t>N/A</t>
  </si>
  <si>
    <t>S.enterica</t>
  </si>
  <si>
    <t>blank1_S178</t>
  </si>
  <si>
    <t>E.coli</t>
  </si>
  <si>
    <t>blank2_S186</t>
  </si>
  <si>
    <t>blank3_S196</t>
  </si>
  <si>
    <t>blank4_S102</t>
  </si>
  <si>
    <t>blank5_S110</t>
  </si>
  <si>
    <t>blank6_S118</t>
  </si>
  <si>
    <t>frd_SM_1</t>
  </si>
  <si>
    <t>fecal</t>
  </si>
  <si>
    <t>free-ranging domestic</t>
  </si>
  <si>
    <t>domestic</t>
  </si>
  <si>
    <t>SM</t>
  </si>
  <si>
    <t>SM1</t>
  </si>
  <si>
    <t>frd_SM_1_ABX_patho_S60</t>
  </si>
  <si>
    <t>abx_challenged</t>
  </si>
  <si>
    <t>L.reuteri</t>
  </si>
  <si>
    <t>frd_SM_1_ABX_patho_S_S7</t>
  </si>
  <si>
    <t>frd_SM_1_control_S52</t>
  </si>
  <si>
    <t>control</t>
  </si>
  <si>
    <t>resistant</t>
  </si>
  <si>
    <t>susceptible</t>
  </si>
  <si>
    <t>frd_SM_1_control_S_S93</t>
  </si>
  <si>
    <t>frd_SM_1_patho_S68</t>
  </si>
  <si>
    <t>challenged</t>
  </si>
  <si>
    <t>frd_SM_1_patho_S_S49</t>
  </si>
  <si>
    <t>frd_SM_2</t>
  </si>
  <si>
    <t>SM2</t>
  </si>
  <si>
    <t>frd_SM_2_ABX_patho_S14</t>
  </si>
  <si>
    <t>frd_SM_2_ABX_patho_S_S2</t>
  </si>
  <si>
    <t>frd_SM_2_control_S6</t>
  </si>
  <si>
    <t>frd_SM_2_control_S_S88</t>
  </si>
  <si>
    <t>frd_SM_2_patho_S22</t>
  </si>
  <si>
    <t>frd_SM_2_patho_S_S44</t>
  </si>
  <si>
    <t>frd_SM_2_rep_ABX_patho_S38</t>
  </si>
  <si>
    <t>SM2_rep</t>
  </si>
  <si>
    <t>frd_SM_2_rep_ABX_patho_S_S5</t>
  </si>
  <si>
    <t>frd_SM_2_rep_control_S30</t>
  </si>
  <si>
    <t>frd_SM_2_rep_control_S_S91</t>
  </si>
  <si>
    <t>frd_SM_2_rep_patho_S46</t>
  </si>
  <si>
    <t>frd_SM_2_rep_patho_S_S47</t>
  </si>
  <si>
    <t>frd_SM_3</t>
  </si>
  <si>
    <t>SM3</t>
  </si>
  <si>
    <t>frd_SM_3_ABXpluspatho_S179</t>
  </si>
  <si>
    <t>frd_SM_3_ABX_patho_S_S10</t>
  </si>
  <si>
    <t>frd_SM_3_control_S171</t>
  </si>
  <si>
    <t>frd_SM_3_control_S_S96</t>
  </si>
  <si>
    <t>frd_SM_3_rep_ABXpluspatho_S157</t>
  </si>
  <si>
    <t>SM3_rep</t>
  </si>
  <si>
    <t>frd_SM_3_rep_control_S149</t>
  </si>
  <si>
    <t>frd_SM_3_rep_patho_S165</t>
  </si>
  <si>
    <t>frd_SM_3_patho_S187</t>
  </si>
  <si>
    <t>frd_SM_3_patho_S_S52</t>
  </si>
  <si>
    <t>frd_SM_4</t>
  </si>
  <si>
    <t>SM4</t>
  </si>
  <si>
    <t>frd_SM_4_ABXpluspatho_S182</t>
  </si>
  <si>
    <t>frd_SM_4_ABX_patho_S_S11</t>
  </si>
  <si>
    <t>frd_SM_4_control_S174</t>
  </si>
  <si>
    <t>frd_SM_4_control_S_S97</t>
  </si>
  <si>
    <t>frd_SM_4_patho_S190</t>
  </si>
  <si>
    <t>frd_SM_4_patho_S_S53</t>
  </si>
  <si>
    <t>frd_SM_4_rep_ABXpluspatho_S135</t>
  </si>
  <si>
    <t>SM4_rep</t>
  </si>
  <si>
    <t>frd_SM_4_rep_control_S127</t>
  </si>
  <si>
    <t>frd_SM_4_rep_patho_S143</t>
  </si>
  <si>
    <t>frd_SM_5</t>
  </si>
  <si>
    <t>SM5</t>
  </si>
  <si>
    <t>frd_SM_5_ABX_patho_S113</t>
  </si>
  <si>
    <t>frd_SM_5_ABX_patho_S_S8</t>
  </si>
  <si>
    <t>frd_SM_5_control_S105</t>
  </si>
  <si>
    <t>frd_SM_5_control_S_S94</t>
  </si>
  <si>
    <t>frd_SM_5_patho_S121</t>
  </si>
  <si>
    <t>frd_SM_5_patho_S_S50</t>
  </si>
  <si>
    <t>frd_SM_5_rep_ABX_S145</t>
  </si>
  <si>
    <t>ABX</t>
  </si>
  <si>
    <t>SM5_rep</t>
  </si>
  <si>
    <t>frd_SM_5_rep_ABXpluspatho_S137</t>
  </si>
  <si>
    <t>frd_SM_5_rep_control_S129</t>
  </si>
  <si>
    <t>frd_SSR_1</t>
  </si>
  <si>
    <t>SSR</t>
  </si>
  <si>
    <t>SSR1</t>
  </si>
  <si>
    <t>frd_SSR_1_ABX_patho_S57</t>
  </si>
  <si>
    <t>frd_SSR_1_ABX_patho_S_S6</t>
  </si>
  <si>
    <t>frd_SSR_1_control_S49</t>
  </si>
  <si>
    <t>frd_SSR_1_control_repeat_S197</t>
  </si>
  <si>
    <t>SSR1_repeat</t>
  </si>
  <si>
    <t>frd_SSR_1_control_S_S92</t>
  </si>
  <si>
    <t>frd_SSR_1_patho_S65</t>
  </si>
  <si>
    <t>frd_SSR_1_patho_S_S48</t>
  </si>
  <si>
    <t>frd_SSR_2</t>
  </si>
  <si>
    <t>SSR2</t>
  </si>
  <si>
    <t>frd_SSR_2_ABX_patho_S34</t>
  </si>
  <si>
    <t>frd_SSR_2_ABX_patho_S_S3</t>
  </si>
  <si>
    <t>frd_SSR_2_control_S26</t>
  </si>
  <si>
    <t>frd_SSR_2_control_S_S89</t>
  </si>
  <si>
    <t>frd_SSR_2_patho_S42</t>
  </si>
  <si>
    <t>frd_SSR_2_patho_S_S45</t>
  </si>
  <si>
    <t>frd_SSR_3</t>
  </si>
  <si>
    <t>SSR3</t>
  </si>
  <si>
    <t>frd_SSR_3_ABX_patho_S11</t>
  </si>
  <si>
    <t>frd_SSR_3_ABX_patho_S_S1</t>
  </si>
  <si>
    <t>frd_SSR_3_control_S3</t>
  </si>
  <si>
    <t>frd_SSR_3_control_S_S87</t>
  </si>
  <si>
    <t>frd_SSR_3_patho_S19</t>
  </si>
  <si>
    <t>frd_SSR_3_patho_S_S43</t>
  </si>
  <si>
    <t>frd_SSR_3_rep_ABX_S43</t>
  </si>
  <si>
    <t>SSR3_rep</t>
  </si>
  <si>
    <t>frd_SSR_3_rep_ABX_patho_S35</t>
  </si>
  <si>
    <t>frd_SSR_3_rep_ABX_patho_S_S4</t>
  </si>
  <si>
    <t>frd_SSR_3_rep_control_S27</t>
  </si>
  <si>
    <t>frd_SSR_3_rep_control_S_S90</t>
  </si>
  <si>
    <t>frd_SSR_3_rep_patho_S_S46</t>
  </si>
  <si>
    <t>frd_VT_1</t>
  </si>
  <si>
    <t>VT</t>
  </si>
  <si>
    <t>VT1</t>
  </si>
  <si>
    <t>frd_VT_1_ABXpluspatho_S162</t>
  </si>
  <si>
    <t>frd_VT_1_ABX_patho_S_S9</t>
  </si>
  <si>
    <t>frd_VT_1_control_S154</t>
  </si>
  <si>
    <t>frd_VT_1_control_S_S95</t>
  </si>
  <si>
    <t>frd_VT_1_patho_S170</t>
  </si>
  <si>
    <t>frd_VT_1_patho_S_S51</t>
  </si>
  <si>
    <t>frd_VT_1_rep_ABX_patho_S5</t>
  </si>
  <si>
    <t>VT1_rep</t>
  </si>
  <si>
    <t>frd_VT_1_rep_control_S197</t>
  </si>
  <si>
    <t>frd_VT_1_rep_patho_S13</t>
  </si>
  <si>
    <t>frd_VT_2</t>
  </si>
  <si>
    <t>VT2</t>
  </si>
  <si>
    <t>frd_VT_2_ABX_patho_S77</t>
  </si>
  <si>
    <t>frd_VT_2_ABX_patho_S_S16</t>
  </si>
  <si>
    <t>frd_VT_2_control_S69</t>
  </si>
  <si>
    <t>frd_VT_2_control_S_S102</t>
  </si>
  <si>
    <t>frd_VT_2_patho_S85</t>
  </si>
  <si>
    <t>frd_VT_2_patho_S_S58</t>
  </si>
  <si>
    <t>frd_VT_2_rep_ABX_patho_S31</t>
  </si>
  <si>
    <t>VT2_rep</t>
  </si>
  <si>
    <t>frd_VT_2_rep_ABX_patho_S_S12</t>
  </si>
  <si>
    <t>frd_VT_2_rep_control_S23</t>
  </si>
  <si>
    <t>frd_VT_2_rep_control_S_S98</t>
  </si>
  <si>
    <t>frd_VT_2_rep_patho_S39</t>
  </si>
  <si>
    <t>frd_VT_2_rep_patho_S_S54</t>
  </si>
  <si>
    <t>frd_VT_3</t>
  </si>
  <si>
    <t>VT3</t>
  </si>
  <si>
    <t>frd_VT_3_ABX_S63</t>
  </si>
  <si>
    <t>frd_VT_3_ABX_patho_S55</t>
  </si>
  <si>
    <t>frd_VT_3_ABX_patho_S_S14</t>
  </si>
  <si>
    <t>frd_VT_3_control_S47</t>
  </si>
  <si>
    <t>frd_VT_3_control_S_S100</t>
  </si>
  <si>
    <t>frd_VT_3_patho_S_S56</t>
  </si>
  <si>
    <t>frd_VT_3_rep_ABX_patho_S35</t>
  </si>
  <si>
    <t>VT3_rep</t>
  </si>
  <si>
    <t>frd_VT_3_rep_ABX_patho_S_S13</t>
  </si>
  <si>
    <t>frd_VT_3_rep_control_S27</t>
  </si>
  <si>
    <t>frd_VT_3_rep_control_S_S99</t>
  </si>
  <si>
    <t>frd_VT_3_rep_patho_S43</t>
  </si>
  <si>
    <t>frd_VT_3_rep_patho_S_S55</t>
  </si>
  <si>
    <t>frd_VT_4</t>
  </si>
  <si>
    <t>VT4</t>
  </si>
  <si>
    <t>frd_VT_4_ABX_patho_S59</t>
  </si>
  <si>
    <t>frd_VT_4_ABX_patho_S_S15</t>
  </si>
  <si>
    <t>frd_VT_4_control_S51</t>
  </si>
  <si>
    <t>frd_VT_4_control_S_S101</t>
  </si>
  <si>
    <t>frd_VT_4_patho_S67</t>
  </si>
  <si>
    <t>frd_VT_4_patho_S_S57</t>
  </si>
  <si>
    <t>frd_VT_4_rep_ABX_patho_S104</t>
  </si>
  <si>
    <t>VT_4_rep</t>
  </si>
  <si>
    <t>frd_VT_4_rep_control_S96</t>
  </si>
  <si>
    <t>frd_VT_4_rep_patho_S112</t>
  </si>
  <si>
    <t>frd_VT_5</t>
  </si>
  <si>
    <t>VT5</t>
  </si>
  <si>
    <t>frd_VT_5_ABX_patho_S176</t>
  </si>
  <si>
    <t>frd_VT_5_ABX_patho_S_S19</t>
  </si>
  <si>
    <t>frd_VT_5_control_S168</t>
  </si>
  <si>
    <t>frd_VT_5_control_S_S105</t>
  </si>
  <si>
    <t>frd_VT_5_patho_S186</t>
  </si>
  <si>
    <t>frd_VT_5_patho_S_S61</t>
  </si>
  <si>
    <t>frd_VT_5_rep_ABX_patho_S129</t>
  </si>
  <si>
    <t>VT5_rep</t>
  </si>
  <si>
    <t>frd_VT_5_rep_ABX_patho_S_S17</t>
  </si>
  <si>
    <t>frd_VT_5_rep_control_S121</t>
  </si>
  <si>
    <t>frd_VT_5_rep_control_S_S103</t>
  </si>
  <si>
    <t>frd_VT_5_rep_patho_S137</t>
  </si>
  <si>
    <t>frd_VT_5_rep_patho_S_S59</t>
  </si>
  <si>
    <t>frd_VT_6</t>
  </si>
  <si>
    <t>VT6</t>
  </si>
  <si>
    <t>frd_VT_6_ABX_patho_S153</t>
  </si>
  <si>
    <t>frd_VT_6_ABX_patho_S_S18</t>
  </si>
  <si>
    <t>frd_VT_6_control_S145</t>
  </si>
  <si>
    <t>frd_VT_6_control_S_S104</t>
  </si>
  <si>
    <t>frd_VT_6_patho_S161</t>
  </si>
  <si>
    <t>frd_VT_6_patho_S_S60</t>
  </si>
  <si>
    <t>frd_VT_6_rep_ABX_S187</t>
  </si>
  <si>
    <t>VT6_rep</t>
  </si>
  <si>
    <t>frd_VT_6_rep_ABX_patho_S177</t>
  </si>
  <si>
    <t>frd_VT_6_rep_ABX_patho_S_S20</t>
  </si>
  <si>
    <t>frd_VT_6_rep_control_S169</t>
  </si>
  <si>
    <t>frd_VT_6_rep_control_S_S106</t>
  </si>
  <si>
    <t>frd_VT_6_rep_patho_S_S62</t>
  </si>
  <si>
    <t>frd_VT_7</t>
  </si>
  <si>
    <t>VT7</t>
  </si>
  <si>
    <t>frd_VT_7_ABX_patho_S179</t>
  </si>
  <si>
    <t>frd_VT_7_ABX_patho_S_S21</t>
  </si>
  <si>
    <t>frd_VT_7_control_S171</t>
  </si>
  <si>
    <t>frd_VT_7_control_S_S107</t>
  </si>
  <si>
    <t>frd_VT_7_patho_S189</t>
  </si>
  <si>
    <t>frd_VT_7_patho_S_S63</t>
  </si>
  <si>
    <t>VT_7</t>
  </si>
  <si>
    <t>frd_VT_7_rep_ABX_patho_S180</t>
  </si>
  <si>
    <t>VT7_rep</t>
  </si>
  <si>
    <t>frd_VT_7_rep_control_S172</t>
  </si>
  <si>
    <t>frd_VT_7_rep_patho_S190</t>
  </si>
  <si>
    <t>frw_AL_12</t>
  </si>
  <si>
    <t>wild</t>
  </si>
  <si>
    <t>AL</t>
  </si>
  <si>
    <t>AL12</t>
  </si>
  <si>
    <t>frw_AL_1</t>
  </si>
  <si>
    <t>AL1</t>
  </si>
  <si>
    <t>frw_AL_1_ABX_patho_repeat_S193</t>
  </si>
  <si>
    <t>AL1_repeat</t>
  </si>
  <si>
    <t>frw_AL_1_ABX_patho_S_S22</t>
  </si>
  <si>
    <t>frw_AL_1_ABX_patho_S9</t>
  </si>
  <si>
    <t>frw_AL_1_control_S_S108</t>
  </si>
  <si>
    <t>frw_AL_1_control_S1</t>
  </si>
  <si>
    <t>frw_AL_1_patho_repeat_S194</t>
  </si>
  <si>
    <t>frw_AL_1_patho_S_S64</t>
  </si>
  <si>
    <t>frw_AL_1_patho_S17</t>
  </si>
  <si>
    <t>frw_AL_10</t>
  </si>
  <si>
    <t>AL10</t>
  </si>
  <si>
    <t>frw_AL_10_ABX_patho_S_S27</t>
  </si>
  <si>
    <t>frw_AL_10_ABX_patho_S110</t>
  </si>
  <si>
    <t>frw_AL_10_control_S_S113</t>
  </si>
  <si>
    <t>frw_AL_10_control_S102</t>
  </si>
  <si>
    <t>frw_AL_10_patho_S_S69</t>
  </si>
  <si>
    <t>frw_AL_10_patho_S118</t>
  </si>
  <si>
    <t>AL10_rep</t>
  </si>
  <si>
    <t>frw_AL_10_rep_ABX_patho_S_S28</t>
  </si>
  <si>
    <t>frw_AL_10_rep_ABXpluspatho_S134</t>
  </si>
  <si>
    <t>frw_AL_10_rep_control_S_S114</t>
  </si>
  <si>
    <t>frw_AL_10_rep_control_S126</t>
  </si>
  <si>
    <t>frw_AL_10_rep_patho_S_S70</t>
  </si>
  <si>
    <t>frw_AL_10_rep_patho_S142</t>
  </si>
  <si>
    <t>frw_AL_11</t>
  </si>
  <si>
    <t>AL11</t>
  </si>
  <si>
    <t>frw_AL_11_ABX_patho_S_S30</t>
  </si>
  <si>
    <t>frw_AL_11_ABXpluspatho_S185</t>
  </si>
  <si>
    <t>frw_AL_11_control_S_S116</t>
  </si>
  <si>
    <t>frw_AL_11_control_S177</t>
  </si>
  <si>
    <t>frw_AL_11_patho_S_S72</t>
  </si>
  <si>
    <t>frw_AL_11_patho_S195</t>
  </si>
  <si>
    <t>frw_AL_12_ABX_patho_S_S29</t>
  </si>
  <si>
    <t>frw_AL_12_ABXpluspatho_S138</t>
  </si>
  <si>
    <t>frw_AL_12_control_S_S115</t>
  </si>
  <si>
    <t>frw_AL_12_control_S130</t>
  </si>
  <si>
    <t>frw_AL_12_patho_S_S71</t>
  </si>
  <si>
    <t>frw_AL_12_patho_S146</t>
  </si>
  <si>
    <t>frw_AL_13</t>
  </si>
  <si>
    <t>AL_13</t>
  </si>
  <si>
    <t>frw_AL_13_ABX_patho_S29</t>
  </si>
  <si>
    <t>frw_AL_13_control_S21</t>
  </si>
  <si>
    <t>frw_AL_13_patho_S37</t>
  </si>
  <si>
    <t>frw_AL_14</t>
  </si>
  <si>
    <t>AL14</t>
  </si>
  <si>
    <t>frw_AL_14_ABX_patho_S_S35</t>
  </si>
  <si>
    <t>frw_AL_14_ABX_patho_S53</t>
  </si>
  <si>
    <t>frw_AL_14_control_S_S121</t>
  </si>
  <si>
    <t>frw_AL_14_control_S45</t>
  </si>
  <si>
    <t>frw_AL_14_patho_S_S77</t>
  </si>
  <si>
    <t>frw_AL_14_patho_S61</t>
  </si>
  <si>
    <t>frw_AL_15</t>
  </si>
  <si>
    <t>AL15</t>
  </si>
  <si>
    <t>frw_AL_15_ABX_patho_S_S33</t>
  </si>
  <si>
    <t>frw_AL_15_ABX_patho_S30</t>
  </si>
  <si>
    <t>frw_AL_15_control_S_S119</t>
  </si>
  <si>
    <t>frw_AL_15_control_S22</t>
  </si>
  <si>
    <t>frw_AL_15_patho_S_S75</t>
  </si>
  <si>
    <t>frw_AL_15_patho_S38</t>
  </si>
  <si>
    <t>frw_AL_2</t>
  </si>
  <si>
    <t>AL2</t>
  </si>
  <si>
    <t>frw_AL_2_ABX_patho_S_S23</t>
  </si>
  <si>
    <t>frw_AL_2_ABX_patho_S33</t>
  </si>
  <si>
    <t>frw_AL_2_control_repeat_S195</t>
  </si>
  <si>
    <t>frw_AL_2_control_S_S109</t>
  </si>
  <si>
    <t>frw_AL_2_control_S25</t>
  </si>
  <si>
    <t>frw_AL_2_patho_repeat_S196</t>
  </si>
  <si>
    <t>frw_AL_2_patho_S_S65</t>
  </si>
  <si>
    <t>frw_AL_2_patho_S41</t>
  </si>
  <si>
    <t>frw_AL_3</t>
  </si>
  <si>
    <t>AL3</t>
  </si>
  <si>
    <t>frw_AL_3_ABX_patho_S58</t>
  </si>
  <si>
    <t>frw_AL_3_control_S50</t>
  </si>
  <si>
    <t>frw_AL_3_patho_S66</t>
  </si>
  <si>
    <t>frw_AL_3_rep_ABX_patho_S82</t>
  </si>
  <si>
    <t>AL_3_rep</t>
  </si>
  <si>
    <t>frw_AL_3_rep_ABX_S90</t>
  </si>
  <si>
    <t>frw_AL_3_rep_control_S74</t>
  </si>
  <si>
    <t>frw_AL_4</t>
  </si>
  <si>
    <t>AL_4</t>
  </si>
  <si>
    <t>frw_AL_4_ABX_patho_S12</t>
  </si>
  <si>
    <t>frw_AL_4_control_S4</t>
  </si>
  <si>
    <t>frw_AL_4_patho_S20</t>
  </si>
  <si>
    <t>frw_AL_5</t>
  </si>
  <si>
    <t>AL5</t>
  </si>
  <si>
    <t>frw_AL_5_ABX_patho_S85</t>
  </si>
  <si>
    <t>frw_AL_5_ABX_patho_S_S26</t>
  </si>
  <si>
    <t>frw_AL_5_control_S77</t>
  </si>
  <si>
    <t>frw_AL_5_control_S_S112</t>
  </si>
  <si>
    <t>frw_AL_5_patho_S93</t>
  </si>
  <si>
    <t>frw_AL_5_patho_S_S68</t>
  </si>
  <si>
    <t>frw_AL_6</t>
  </si>
  <si>
    <t>AL6</t>
  </si>
  <si>
    <t>frw_AL_6_ABX_patho_S40</t>
  </si>
  <si>
    <t>frw_AL_6_ABX_patho_S_S24</t>
  </si>
  <si>
    <t>frw_AL_6_control_S32</t>
  </si>
  <si>
    <t>frw_AL_6_control_S_S110</t>
  </si>
  <si>
    <t>frw_AL_6_patho_S48</t>
  </si>
  <si>
    <t>frw_AL_6_patho_S_S66</t>
  </si>
  <si>
    <t>frw_AL_7</t>
  </si>
  <si>
    <t>AL7</t>
  </si>
  <si>
    <t>frw_AL_7_ABX_patho_S64</t>
  </si>
  <si>
    <t>frw_AL_7_ABX_patho_S_S25</t>
  </si>
  <si>
    <t>frw_AL_7_control_S56</t>
  </si>
  <si>
    <t>frw_AL_7_control_S_S111</t>
  </si>
  <si>
    <t>frw_AL_7_patho_S72</t>
  </si>
  <si>
    <t>frw_AL_7_patho_S_S67</t>
  </si>
  <si>
    <t>frw_AL_8</t>
  </si>
  <si>
    <t>AL_8</t>
  </si>
  <si>
    <t>frw_AL_8_ABXpluspatho_S131</t>
  </si>
  <si>
    <t>frw_AL_8_control_S123</t>
  </si>
  <si>
    <t>frw_AL_8_patho_S139</t>
  </si>
  <si>
    <t>frw_AL_9</t>
  </si>
  <si>
    <t>AL_9</t>
  </si>
  <si>
    <t>frw_AL_9_ABXpluspatho_S156</t>
  </si>
  <si>
    <t>frw_AL_9_control_S148</t>
  </si>
  <si>
    <t>frw_AL_9_patho_S164</t>
  </si>
  <si>
    <t>frw_CA_1_ABX_patho_S54</t>
  </si>
  <si>
    <t>CA</t>
  </si>
  <si>
    <t>CA1</t>
  </si>
  <si>
    <t>frw_CA_1_ABX_patho_S_S36</t>
  </si>
  <si>
    <t>frw_CA_1_control_S46</t>
  </si>
  <si>
    <t>frw_CA_1_control_S_S122</t>
  </si>
  <si>
    <t>frw_CA_1_patho_S62</t>
  </si>
  <si>
    <t>frw_CA_1_patho_S_S78</t>
  </si>
  <si>
    <t>frw_CA_10</t>
  </si>
  <si>
    <t>CA10</t>
  </si>
  <si>
    <t>frw_CA_10_ABX_patho_S175</t>
  </si>
  <si>
    <t>frw_CA_10_ABX_patho_S_S43</t>
  </si>
  <si>
    <t>frw_CA_10_control_S167</t>
  </si>
  <si>
    <t>frw_CA_10_control_S_S129</t>
  </si>
  <si>
    <t>frw_CA_10_patho_S185</t>
  </si>
  <si>
    <t>frw_CA_10_patho_S_S85</t>
  </si>
  <si>
    <t>frw_CA_11</t>
  </si>
  <si>
    <t>frw_CA_11_ABX_patho_S106</t>
  </si>
  <si>
    <t>frw_CA_11_control_S98</t>
  </si>
  <si>
    <t>frw_CA_11_patho_S114</t>
  </si>
  <si>
    <t>frw_CA_11_rep_ABX_patho_S130</t>
  </si>
  <si>
    <t>frw_CA_11_rep_control_S122</t>
  </si>
  <si>
    <t>frw_CA_11_rep_patho_S138</t>
  </si>
  <si>
    <t>frw_CA_12</t>
  </si>
  <si>
    <t>CA12</t>
  </si>
  <si>
    <t>frw_CA_12_ABX_patho_S108</t>
  </si>
  <si>
    <t>frw_CA_12_ABX_patho_S_S41</t>
  </si>
  <si>
    <t>frw_CA_12_control_S100</t>
  </si>
  <si>
    <t>frw_CA_12_control_S_S127</t>
  </si>
  <si>
    <t>frw_CA_12_patho_S116</t>
  </si>
  <si>
    <t>frw_CA_12_patho_S_S83</t>
  </si>
  <si>
    <t>frw_CA_13</t>
  </si>
  <si>
    <t>CA_13</t>
  </si>
  <si>
    <t>frw_CA_13_ABX_patho_S156</t>
  </si>
  <si>
    <t>frw_CA_13_control_S148</t>
  </si>
  <si>
    <t>frw_CA_13_patho_S164</t>
  </si>
  <si>
    <t>frw_CA_14</t>
  </si>
  <si>
    <t>CA14</t>
  </si>
  <si>
    <t>frw_CA_14_ABX_patho_S133</t>
  </si>
  <si>
    <t>frw_CA_14_ABX_patho_S_S42</t>
  </si>
  <si>
    <t>frw_CA_14_control_S125</t>
  </si>
  <si>
    <t>frw_CA_14_control_S_S128</t>
  </si>
  <si>
    <t>frw_CA_14_patho_S141</t>
  </si>
  <si>
    <t>frw_CA_14_patho_S_S84</t>
  </si>
  <si>
    <t>frw_CA_15</t>
  </si>
  <si>
    <t>CA_15</t>
  </si>
  <si>
    <t>frw_CA_15_ABX_patho_S181</t>
  </si>
  <si>
    <t>frw_CA_15_control_S173</t>
  </si>
  <si>
    <t>frw_CA_15_patho_S191</t>
  </si>
  <si>
    <t>frw_CA_2</t>
  </si>
  <si>
    <t>CA_2</t>
  </si>
  <si>
    <t>frw_CA_2_ABX_patho_S78</t>
  </si>
  <si>
    <t>frw_CA_2_control_S70</t>
  </si>
  <si>
    <t>frw_CA_2_patho_S86</t>
  </si>
  <si>
    <t>frw_CA_3</t>
  </si>
  <si>
    <t>CA3</t>
  </si>
  <si>
    <t>frw_CA_3_ABX_S16</t>
  </si>
  <si>
    <t>frw_CA_3_ABX_patho_S8</t>
  </si>
  <si>
    <t>frw_CA_3_ABX_patho_S_S31</t>
  </si>
  <si>
    <t>frw_CA_3_control_S200</t>
  </si>
  <si>
    <t>frw_CA_3_control_S_S117</t>
  </si>
  <si>
    <t>frw_CA_3_patho_S_S73</t>
  </si>
  <si>
    <t>frw_CA_3_rep_ABX_patho_S32</t>
  </si>
  <si>
    <t>CA3_rep</t>
  </si>
  <si>
    <t>frw_CA_3_rep_ABX_patho_S_S34</t>
  </si>
  <si>
    <t>frw_CA_3_rep_control_S24</t>
  </si>
  <si>
    <t>frw_CA_3_rep_control_S_S120</t>
  </si>
  <si>
    <t>frw_CA_3_rep_patho_S40</t>
  </si>
  <si>
    <t>frw_CA_3_rep_patho_S_S76</t>
  </si>
  <si>
    <t>frw_CA_4</t>
  </si>
  <si>
    <t>CA_4</t>
  </si>
  <si>
    <t>frw_CA_4_ABX_patho_S9</t>
  </si>
  <si>
    <t>frw_CA_4_control_S1</t>
  </si>
  <si>
    <t>frw_CA_4_patho_S17</t>
  </si>
  <si>
    <t>frw_CA_5_ABX_patho_S81</t>
  </si>
  <si>
    <t>CA5</t>
  </si>
  <si>
    <t>frw_CA_5_ABX_patho_S_S38</t>
  </si>
  <si>
    <t>frw_CA_5_control_S73</t>
  </si>
  <si>
    <t>frw_CA_5_control_S_S124</t>
  </si>
  <si>
    <t>frw_CA_5_patho_S91</t>
  </si>
  <si>
    <t>frw_CA_5_patho_S_S80</t>
  </si>
  <si>
    <t>frw_CA_6</t>
  </si>
  <si>
    <t>CA6</t>
  </si>
  <si>
    <t>frw_CA_6_ABX_patho_S82</t>
  </si>
  <si>
    <t>frw_CA_6_ABX_patho_S_S39</t>
  </si>
  <si>
    <t>frw_CA_6_control_S74</t>
  </si>
  <si>
    <t>frw_CA_6_control_S_S125</t>
  </si>
  <si>
    <t>frw_CA_6_patho_S92</t>
  </si>
  <si>
    <t>frw_CA_6_patho_S_S81</t>
  </si>
  <si>
    <t>frw_CA_7</t>
  </si>
  <si>
    <t>CA7</t>
  </si>
  <si>
    <t>frw_CA_7_ABX_patho_S12</t>
  </si>
  <si>
    <t>frw_CA_7_ABX_patho_S_S32</t>
  </si>
  <si>
    <t>frw_CA_7_control_S4</t>
  </si>
  <si>
    <t>frw_CA_7_control_S_S118</t>
  </si>
  <si>
    <t>frw_CA_7_patho_S20</t>
  </si>
  <si>
    <t>frw_CA_7_patho_S_S74</t>
  </si>
  <si>
    <t>frw_CA_8</t>
  </si>
  <si>
    <t>CA8</t>
  </si>
  <si>
    <t>frw_CA_8_ABX_S68</t>
  </si>
  <si>
    <t>frw_CA_8_ABX_patho_S60</t>
  </si>
  <si>
    <t>frw_CA_8_ABX_patho_S_S37</t>
  </si>
  <si>
    <t>frw_CA_8_control_S52</t>
  </si>
  <si>
    <t>frw_CA_8_control_S_S123</t>
  </si>
  <si>
    <t>frw_CA_8_patho_S_S79</t>
  </si>
  <si>
    <t>frw_CA_9</t>
  </si>
  <si>
    <t>CA9</t>
  </si>
  <si>
    <t>frw_CA_9_ABX_patho_S84</t>
  </si>
  <si>
    <t>frw_CA_9_ABX_patho_S_S40</t>
  </si>
  <si>
    <t>frw_CA_9_control_S76</t>
  </si>
  <si>
    <t>frw_CA_9_control_S_S126</t>
  </si>
  <si>
    <t>frw_CA_9_patho_S95</t>
  </si>
  <si>
    <t>frw_CA_9_patho_S_S82</t>
  </si>
  <si>
    <t>ind_NC1_1_ABX_patho_S81</t>
  </si>
  <si>
    <t>industrial</t>
  </si>
  <si>
    <t>NC1</t>
  </si>
  <si>
    <t>NC1_1</t>
  </si>
  <si>
    <t>ind_NC1_1_ABX_patho_S_S48</t>
  </si>
  <si>
    <t>ind_NC1_1_control_S73</t>
  </si>
  <si>
    <t>ind_NC1_1_control_S_S4</t>
  </si>
  <si>
    <t>ind_NC1_1_patho_S89</t>
  </si>
  <si>
    <t>ind_NC1_1_patho_S_S90</t>
  </si>
  <si>
    <t>ind_NC1_10_ABX_patho_S108</t>
  </si>
  <si>
    <t>NC1_10</t>
  </si>
  <si>
    <t>ind_NC1_10_ABX_patho_S_S50</t>
  </si>
  <si>
    <t>ind_NC1_10_control_S100</t>
  </si>
  <si>
    <t>ind_NC1_10_control_S_S6</t>
  </si>
  <si>
    <t>ind_NC1_10_patho_S116</t>
  </si>
  <si>
    <t>ind_NC1_10_patho_S_S92</t>
  </si>
  <si>
    <t>ind_NC1_10_rep_ABX_S140</t>
  </si>
  <si>
    <t>NC1_10_rep</t>
  </si>
  <si>
    <t>ind_NC1_10_rep_ABXpluspatho_S132</t>
  </si>
  <si>
    <t>ind_NC1_10_rep_ABX_patho_S_S51</t>
  </si>
  <si>
    <t>ind_NC1_10_rep_control_S124</t>
  </si>
  <si>
    <t>ind_NC1_10_rep_control_S_S7</t>
  </si>
  <si>
    <t>ind_NC1_10_rep_patho_S_S93</t>
  </si>
  <si>
    <t>ind_NC1_2_ABX_patho_S59</t>
  </si>
  <si>
    <t>NC1_2</t>
  </si>
  <si>
    <t>ind_NC1_2_control_S51</t>
  </si>
  <si>
    <t>ind_NC1_2_patho_S67</t>
  </si>
  <si>
    <t>ind_NC1_2_rep_ABX_patho_S83</t>
  </si>
  <si>
    <t>NC1_2_rep</t>
  </si>
  <si>
    <t>ind_NC1_2_rep_ABX_S91</t>
  </si>
  <si>
    <t>ind_NC1_2_rep_control_S75</t>
  </si>
  <si>
    <t>ind_NC1_3_ABX_patho_S13</t>
  </si>
  <si>
    <t>NC1_3</t>
  </si>
  <si>
    <t>ind_NC1_3_ABX_patho_S_S44</t>
  </si>
  <si>
    <t>ind_NC1_3_control_S5</t>
  </si>
  <si>
    <t>ind_NC1_3_control_S_S130</t>
  </si>
  <si>
    <t>ind_NC1_3_patho_S21</t>
  </si>
  <si>
    <t>ind_NC1_3_patho_S_S86</t>
  </si>
  <si>
    <t>ind_NC1_4_ABX_patho_S61</t>
  </si>
  <si>
    <t>NC1_4</t>
  </si>
  <si>
    <t>ind_NC1_4_ABX_patho_S_S45</t>
  </si>
  <si>
    <t>ind_NC1_4_control_S53</t>
  </si>
  <si>
    <t>ind_NC1_4_control_S_S1</t>
  </si>
  <si>
    <t>ind_NC1_4_patho_S69</t>
  </si>
  <si>
    <t>ind_NC1_4_patho_S_S87</t>
  </si>
  <si>
    <t>ind_NC1_5_ABX_patho_S62</t>
  </si>
  <si>
    <t>NC1_5</t>
  </si>
  <si>
    <t>ind_NC1_5_ABX_patho_S_S46</t>
  </si>
  <si>
    <t>ind_NC1_5_control_S54</t>
  </si>
  <si>
    <t>ind_NC1_5_control_S_S2</t>
  </si>
  <si>
    <t>ind_NC1_5_patho_S70</t>
  </si>
  <si>
    <t>ind_NC1_5_patho_S_S88</t>
  </si>
  <si>
    <t>ind_NC1_6_ABX_patho_S86</t>
  </si>
  <si>
    <t>NC1_6</t>
  </si>
  <si>
    <t>ind_NC1_6_control_S78</t>
  </si>
  <si>
    <t>ind_NC1_6_patho_S94</t>
  </si>
  <si>
    <t>ind_NC1_7_ABX_patho_S63</t>
  </si>
  <si>
    <t>NC1_7</t>
  </si>
  <si>
    <t>ind_NC1_7_ABX_patho_S_S47</t>
  </si>
  <si>
    <t>ind_NC1_7_control_S55</t>
  </si>
  <si>
    <t>ind_NC1_7_control_S_S3</t>
  </si>
  <si>
    <t>ind_NC1_7_patho_S71</t>
  </si>
  <si>
    <t>ind_NC1_7_patho_S_S89</t>
  </si>
  <si>
    <t>ind_NC1_8_ABX_patho_S87</t>
  </si>
  <si>
    <t>NC1_8</t>
  </si>
  <si>
    <t>ind_NC1_8_ABX_patho_S_S49</t>
  </si>
  <si>
    <t>ind_NC1_8_control_S79</t>
  </si>
  <si>
    <t>ind_NC1_8_control_S_S5</t>
  </si>
  <si>
    <t>ind_NC1_8_patho_S97</t>
  </si>
  <si>
    <t>ind_NC1_8_patho_S_S91</t>
  </si>
  <si>
    <t>ind_NC1_9_ABXpluspatho_S155</t>
  </si>
  <si>
    <t>NC1_9</t>
  </si>
  <si>
    <t>ind_NC1_9_control_S147</t>
  </si>
  <si>
    <t>ind_NC1_9_patho_S163</t>
  </si>
  <si>
    <t>ind_NC2_1</t>
  </si>
  <si>
    <t>NC2</t>
  </si>
  <si>
    <t>NC2_1</t>
  </si>
  <si>
    <t>ind_NC2_1_ABXpluspatho_S180</t>
  </si>
  <si>
    <t>ind_NC2_1_ABX_patho_S_S54</t>
  </si>
  <si>
    <t>ind_NC2_1_control_S172</t>
  </si>
  <si>
    <t>ind_NC2_1_control_S_S10</t>
  </si>
  <si>
    <t>ind_NC2_1_patho_S188</t>
  </si>
  <si>
    <t>ind_NC2_1_patho_S_S96</t>
  </si>
  <si>
    <t>ind_NC2_10</t>
  </si>
  <si>
    <t>NC2_10</t>
  </si>
  <si>
    <t>ind_NC2_10_ABX_patho_S103</t>
  </si>
  <si>
    <t>ind_NC2_10_ABX_patho_S_S59</t>
  </si>
  <si>
    <t>ind_NC2_10_control_S94</t>
  </si>
  <si>
    <t>ind_NC2_10_control_S_S15</t>
  </si>
  <si>
    <t>ind_NC2_10_patho_S111</t>
  </si>
  <si>
    <t>ind_NC2_10_patho_S_S101</t>
  </si>
  <si>
    <t>ind_NC2_11</t>
  </si>
  <si>
    <t>NC2_11</t>
  </si>
  <si>
    <t>ind_NC2_11_ABX_patho_S151</t>
  </si>
  <si>
    <t>ind_NC2_11_ABX_patho_S_S62</t>
  </si>
  <si>
    <t>ind_NC2_11_control_S143</t>
  </si>
  <si>
    <t>ind_NC2_11_control_S_S18</t>
  </si>
  <si>
    <t>ind_NC2_11_patho_S159</t>
  </si>
  <si>
    <t>ind_NC2_11_patho_S_S104</t>
  </si>
  <si>
    <t>ind_NC2_12</t>
  </si>
  <si>
    <t>NC_12</t>
  </si>
  <si>
    <t>ind_NC2_12_ABX_patho_S128</t>
  </si>
  <si>
    <t>ind_NC2_12_control_S120</t>
  </si>
  <si>
    <t>ind_NC2_12_patho_S136</t>
  </si>
  <si>
    <t>ind_NC2_12_rep_ABX_patho_S152</t>
  </si>
  <si>
    <t>NC_12_rep</t>
  </si>
  <si>
    <t>ind_NC2_12_rep_ABX_S160</t>
  </si>
  <si>
    <t>ind_NC2_12_rep_control_S144</t>
  </si>
  <si>
    <t>ind_NC2_13</t>
  </si>
  <si>
    <t>NC2_13</t>
  </si>
  <si>
    <t>ind_NC2_13_ABX_patho_S131</t>
  </si>
  <si>
    <t>ind_NC2_13_ABX_patho_S_S60</t>
  </si>
  <si>
    <t>ind_NC2_13_control_S123</t>
  </si>
  <si>
    <t>ind_NC2_13_control_S_S16</t>
  </si>
  <si>
    <t>ind_NC2_13_patho_S139</t>
  </si>
  <si>
    <t>ind_NC2_13_patho_S_S102</t>
  </si>
  <si>
    <t>ind_NC2_14</t>
  </si>
  <si>
    <t>NC2_14</t>
  </si>
  <si>
    <t>ind_NC2_14_ABX_patho_S155</t>
  </si>
  <si>
    <t>ind_NC2_14_ABX_patho_S_S63</t>
  </si>
  <si>
    <t>ind_NC2_14_control_S147</t>
  </si>
  <si>
    <t>ind_NC2_14_control_S_S19</t>
  </si>
  <si>
    <t>ind_NC2_14_patho_S163</t>
  </si>
  <si>
    <t>ind_NC2_14_patho_S_S105</t>
  </si>
  <si>
    <t>ind_NC2_15</t>
  </si>
  <si>
    <t>NC_15</t>
  </si>
  <si>
    <t>ind_NC2_15_ABX_patho_S109</t>
  </si>
  <si>
    <t>ind_NC2_15_control_S101</t>
  </si>
  <si>
    <t>ind_NC2_15_patho_S117</t>
  </si>
  <si>
    <t>ind_NC2_16</t>
  </si>
  <si>
    <t>NC2_16</t>
  </si>
  <si>
    <t>ind_NC2_16_ABX_patho_S157</t>
  </si>
  <si>
    <t>ind_NC2_16_ABX_patho_S_S64</t>
  </si>
  <si>
    <t>ind_NC2_16_control_S149</t>
  </si>
  <si>
    <t>ind_NC2_16_control_S_S20</t>
  </si>
  <si>
    <t>ind_NC2_16_patho_S165</t>
  </si>
  <si>
    <t>ind_NC2_16_patho_S_S106</t>
  </si>
  <si>
    <t>ind_NC2_17</t>
  </si>
  <si>
    <t>NC2_17</t>
  </si>
  <si>
    <t>ind_NC2_17_ABX_patho_S134</t>
  </si>
  <si>
    <t>ind_NC2_17_ABX_patho_S_S61</t>
  </si>
  <si>
    <t>ind_NC2_17_control_S126</t>
  </si>
  <si>
    <t>ind_NC2_17_control_S_S17</t>
  </si>
  <si>
    <t>ind_NC2_17_patho_S142</t>
  </si>
  <si>
    <t>ind_NC2_17_patho_S_S103</t>
  </si>
  <si>
    <t>ind_NC2_18</t>
  </si>
  <si>
    <t>NC2_18</t>
  </si>
  <si>
    <t>ind_NC2_18_ABX_patho_S182</t>
  </si>
  <si>
    <t>ind_NC2_18_control_S174</t>
  </si>
  <si>
    <t>ind_NC2_18_patho_S192</t>
  </si>
  <si>
    <t>ind_NC2_2</t>
  </si>
  <si>
    <t>NC2_2</t>
  </si>
  <si>
    <t>ind_NC2_2_ABXpluspatho_S158</t>
  </si>
  <si>
    <t>ind_NC2_2_ABX_patho_S_S52</t>
  </si>
  <si>
    <t>ind_NC2_2_control_S150</t>
  </si>
  <si>
    <t>ind_NC2_2_control_S_S8</t>
  </si>
  <si>
    <t>ind_NC2_2_patho_S166</t>
  </si>
  <si>
    <t>ind_NC2_2_patho_S_S94</t>
  </si>
  <si>
    <t>ind_NC2_3</t>
  </si>
  <si>
    <t>NC2_3</t>
  </si>
  <si>
    <t>ind_NC2_3_ABXpluspatho_S160</t>
  </si>
  <si>
    <t>ind_NC2_3_ABX_patho_S_S53</t>
  </si>
  <si>
    <t>ind_NC2_3_control_S152</t>
  </si>
  <si>
    <t>ind_NC2_3_control_S_S9</t>
  </si>
  <si>
    <t>ind_NC2_3_patho_S168</t>
  </si>
  <si>
    <t>ind_NC2_3_patho_S_S95</t>
  </si>
  <si>
    <t>ind_NC2_4</t>
  </si>
  <si>
    <t>NC2_4</t>
  </si>
  <si>
    <t>ind_NC2_4_ABXpluspatho_S184</t>
  </si>
  <si>
    <t>ind_NC2_4_control_S176</t>
  </si>
  <si>
    <t>ind_NC2_4_patho_S194</t>
  </si>
  <si>
    <t>ind_NC2_5</t>
  </si>
  <si>
    <t>NC2_5</t>
  </si>
  <si>
    <t>ind_NC2_5_ABX_patho_S6</t>
  </si>
  <si>
    <t>ind_NC2_5_ABX_patho_S_S55</t>
  </si>
  <si>
    <t>ind_NC2_5_control_S198</t>
  </si>
  <si>
    <t>ind_NC2_5_control_S_S11</t>
  </si>
  <si>
    <t>ind_NC2_5_patho_S14</t>
  </si>
  <si>
    <t>ind_NC2_5_patho_S_S97</t>
  </si>
  <si>
    <t>ind_NC2_6</t>
  </si>
  <si>
    <t>NC2_6</t>
  </si>
  <si>
    <t>ind_NC2_6_ABX_S90</t>
  </si>
  <si>
    <t>NC2_6_rep</t>
  </si>
  <si>
    <t>ind_NC2_6_ABX_patho_S56</t>
  </si>
  <si>
    <t>ind_NC2_6_ABX_patho_S_S57</t>
  </si>
  <si>
    <t>ind_NC2_6_control_S48</t>
  </si>
  <si>
    <t>ind_NC2_6_control_S_S13</t>
  </si>
  <si>
    <t>ind_NC2_6_patho_S64</t>
  </si>
  <si>
    <t>ind_NC2_6_patho_S_S99</t>
  </si>
  <si>
    <t>ind_NC2_6_rep_ABX_patho_S80</t>
  </si>
  <si>
    <t>ind_NC2_6_rep_ABX_patho_S_S58</t>
  </si>
  <si>
    <t>ind_NC2_6_rep_control_S72</t>
  </si>
  <si>
    <t>ind_NC2_6_rep_control_S_S14</t>
  </si>
  <si>
    <t>ind_NC2_6_rep_patho_S_S100</t>
  </si>
  <si>
    <t>ind_NC2_7</t>
  </si>
  <si>
    <t>NC2_7</t>
  </si>
  <si>
    <t>ind_NC2_7_ABX_patho_S10</t>
  </si>
  <si>
    <t>ind_NC2_7_control_S2</t>
  </si>
  <si>
    <t>ind_NC2_7_patho_S18</t>
  </si>
  <si>
    <t>ind_NC2_7_rep_ABX_patho_S34</t>
  </si>
  <si>
    <t>NC2_7_rep</t>
  </si>
  <si>
    <t>ind_NC2_7_rep_control_S26</t>
  </si>
  <si>
    <t>ind_NC2_7_rep_patho_S42</t>
  </si>
  <si>
    <t>ind_NC2_8</t>
  </si>
  <si>
    <t>NC2_8</t>
  </si>
  <si>
    <t>ind_NC2_8_ABX_patho_S83</t>
  </si>
  <si>
    <t>ind_NC2_8_control_S75</t>
  </si>
  <si>
    <t>ind_NC2_8_patho_S93</t>
  </si>
  <si>
    <t>ind_NC2_9</t>
  </si>
  <si>
    <t>NC2_9</t>
  </si>
  <si>
    <t>ind_NC2_9_ABX_patho_S36</t>
  </si>
  <si>
    <t>ind_NC2_9_ABX_patho_S_S56</t>
  </si>
  <si>
    <t>ind_NC2_9_control_S28</t>
  </si>
  <si>
    <t>ind_NC2_9_control_S_S12</t>
  </si>
  <si>
    <t>ind_NC2_9_patho_S44</t>
  </si>
  <si>
    <t>ind_NC2_9_patho_S_S98</t>
  </si>
  <si>
    <t>PCR_neg_plate1_S96</t>
  </si>
  <si>
    <t>negative</t>
  </si>
  <si>
    <t>PCR_neg_plate2_S191</t>
  </si>
  <si>
    <t>PCR_neg_plate3_S87</t>
  </si>
  <si>
    <t>PCR_neg_plate4_S183</t>
  </si>
  <si>
    <t>PCR_neg_plate5_S198</t>
  </si>
  <si>
    <t>PCR_NEG_S130</t>
  </si>
  <si>
    <t>PCR_pos_Ecoli_S199</t>
  </si>
  <si>
    <t>positive_Ecoli</t>
  </si>
  <si>
    <t>PCR_pos_plate1_S95</t>
  </si>
  <si>
    <t>positive</t>
  </si>
  <si>
    <t>PCR_pos_plate2_S192</t>
  </si>
  <si>
    <t>PCR_pos_plate3_S88</t>
  </si>
  <si>
    <t>PCR_pos_plate4_S184</t>
  </si>
  <si>
    <t>PCR_POS_S131</t>
  </si>
  <si>
    <t>res_CalPoly_1</t>
  </si>
  <si>
    <t>research</t>
  </si>
  <si>
    <t>CalPoly</t>
  </si>
  <si>
    <t>CalPoly1</t>
  </si>
  <si>
    <t>res_CalPoly_1_ABXpluspatho_S136</t>
  </si>
  <si>
    <t>res_CalPoly_1_ABX_patho_S_S75</t>
  </si>
  <si>
    <t>res_CalPoly_1_control_S128</t>
  </si>
  <si>
    <t>res_CalPoly_1_control_S_S31</t>
  </si>
  <si>
    <t>res_CalPoly_1_patho_S144</t>
  </si>
  <si>
    <t>res_CalPoly_1_patho_S_S117</t>
  </si>
  <si>
    <t>res_CalPoly_10</t>
  </si>
  <si>
    <t>CalPoly10</t>
  </si>
  <si>
    <t>res_CalPoly_10_ABX_patho_S105</t>
  </si>
  <si>
    <t>res_CalPoly_10_control_S97</t>
  </si>
  <si>
    <t>res_CalPoly_10_patho_S113</t>
  </si>
  <si>
    <t>res_CalPoly_11</t>
  </si>
  <si>
    <t>CalPoly11</t>
  </si>
  <si>
    <t>res_CalPoly_11_ABX_patho_S154</t>
  </si>
  <si>
    <t>res_CalPoly_11_control_S146</t>
  </si>
  <si>
    <t>res_CalPoly_11_patho_S162</t>
  </si>
  <si>
    <t>res_CalPoly_11_rep_ABX_patho_S178</t>
  </si>
  <si>
    <t>CalPoly11_rep</t>
  </si>
  <si>
    <t>res_CalPoly_11_rep_ABX_S188</t>
  </si>
  <si>
    <t>res_CalPoly_11_rep_control_S170</t>
  </si>
  <si>
    <t>res_CalPoly_12</t>
  </si>
  <si>
    <t>CalPoly12</t>
  </si>
  <si>
    <t>res_CalPoly_12_ABX_patho_S107</t>
  </si>
  <si>
    <t>res_CalPoly_12_ABX_patho_S_S83</t>
  </si>
  <si>
    <t>res_CalPoly_12_control_S99</t>
  </si>
  <si>
    <t>res_CalPoly_12_control_S_S39</t>
  </si>
  <si>
    <t>res_CalPoly_12_patho_S115</t>
  </si>
  <si>
    <t>res_CalPoly_12_patho_S_S125</t>
  </si>
  <si>
    <t>res_CalPoly_13</t>
  </si>
  <si>
    <t>CalPoly13</t>
  </si>
  <si>
    <t>res_CalPoly_13_ABX_patho_S132</t>
  </si>
  <si>
    <t>res_CalPoly_13_ABX_patho_S_S85</t>
  </si>
  <si>
    <t>res_CalPoly_13_control_S124</t>
  </si>
  <si>
    <t>res_CalPoly_13_control_S_S41</t>
  </si>
  <si>
    <t>res_CalPoly_13_patho_S140</t>
  </si>
  <si>
    <t>res_CalPoly_13_patho_S_S127</t>
  </si>
  <si>
    <t>res_CalPoly_14</t>
  </si>
  <si>
    <t>CalPoly14</t>
  </si>
  <si>
    <t>res_CalPoly_14_ABX_patho_S158</t>
  </si>
  <si>
    <t>res_CalPoly_14_ABX_patho_S_S86</t>
  </si>
  <si>
    <t>res_CalPoly_14_control_S150</t>
  </si>
  <si>
    <t>res_CalPoly_14_control_S_S42</t>
  </si>
  <si>
    <t>res_CalPoly_14_patho_S166</t>
  </si>
  <si>
    <t>res_CalPoly_14_patho_S_S128</t>
  </si>
  <si>
    <t>res_CalPoly_2</t>
  </si>
  <si>
    <t>CalPoly2</t>
  </si>
  <si>
    <t>res_CalPoly_2_ABXpluspatho_S161</t>
  </si>
  <si>
    <t>res_CalPoly_2_ABX_patho_S_S76</t>
  </si>
  <si>
    <t>res_CalPoly_2_control_S153</t>
  </si>
  <si>
    <t>res_CalPoly_2_control_S_S32</t>
  </si>
  <si>
    <t>res_CalPoly_2_patho_S169</t>
  </si>
  <si>
    <t>res_CalPoly_2_patho_S_S118</t>
  </si>
  <si>
    <t>res_CalPoly_3</t>
  </si>
  <si>
    <t>CalPoly3</t>
  </si>
  <si>
    <t>res_CalPoly_3_ABX_patho_S114</t>
  </si>
  <si>
    <t>res_CalPoly_3_ABX_patho_S_S74</t>
  </si>
  <si>
    <t>res_CalPoly_3_control_S106</t>
  </si>
  <si>
    <t>res_CalPoly_3_control_S_S30</t>
  </si>
  <si>
    <t>res_CalPoly_3_patho_S122</t>
  </si>
  <si>
    <t>res_CalPoly_3_patho_S_S116</t>
  </si>
  <si>
    <t>res_CalPoly_4</t>
  </si>
  <si>
    <t>CalPoly4</t>
  </si>
  <si>
    <t>res_CalPoly_4_ABX_patho_S7</t>
  </si>
  <si>
    <t>res_CalPoly_4_ABX_patho_S_S78</t>
  </si>
  <si>
    <t>res_CalPoly_4_control_S199</t>
  </si>
  <si>
    <t>res_CalPoly_4_control_S_S34</t>
  </si>
  <si>
    <t>res_CalPoly_4_patho_S15</t>
  </si>
  <si>
    <t>res_CalPoly_4_patho_S_S120</t>
  </si>
  <si>
    <t>res_CalPoly_5_ABX_patho_S79</t>
  </si>
  <si>
    <t>CalPoly5</t>
  </si>
  <si>
    <t>res_CalPoly_5_ABX_patho_S_S82</t>
  </si>
  <si>
    <t>res_CalPoly_5_control_S71</t>
  </si>
  <si>
    <t>res_CalPoly_5_control_S_S38</t>
  </si>
  <si>
    <t>res_CalPoly_5_patho_S89</t>
  </si>
  <si>
    <t>res_CalPoly_5_patho_S_S124</t>
  </si>
  <si>
    <t>res_CalPoly_6</t>
  </si>
  <si>
    <t>CalPoly6</t>
  </si>
  <si>
    <t>res_CalPoly_6_ABX_patho_S33</t>
  </si>
  <si>
    <t>res_CalPoly_6_ABX_patho_S_S79</t>
  </si>
  <si>
    <t>res_CalPoly_6_control_S25</t>
  </si>
  <si>
    <t>res_CalPoly_6_control_S_S35</t>
  </si>
  <si>
    <t>res_CalPoly_6_patho_S41</t>
  </si>
  <si>
    <t>res_CalPoly_6_patho_S_S121</t>
  </si>
  <si>
    <t>res_CalPoly_6_rep_ABX_S65</t>
  </si>
  <si>
    <t>CalPoly6_rep</t>
  </si>
  <si>
    <t>res_CalPoly_6_rep_ABX_patho_S57</t>
  </si>
  <si>
    <t>res_CalPoly_6_rep_ABX_patho_S_S80</t>
  </si>
  <si>
    <t>res_CalPoly_6_rep_control_S49</t>
  </si>
  <si>
    <t>res_CalPoly_6_rep_control_S_S36</t>
  </si>
  <si>
    <t>res_CalPoly_6_rep_patho_S_S122</t>
  </si>
  <si>
    <t>res_CalPoly_7</t>
  </si>
  <si>
    <t>CalPoly7</t>
  </si>
  <si>
    <t>res_CalPoly_7_ABX_patho_S58</t>
  </si>
  <si>
    <t>res_CalPoly_7_ABX_patho_S_S81</t>
  </si>
  <si>
    <t>res_CalPoly_7_control_S50</t>
  </si>
  <si>
    <t>res_CalPoly_7_control_S_S37</t>
  </si>
  <si>
    <t>res_CalPoly_7_patho_S66</t>
  </si>
  <si>
    <t>res_CalPoly_7_patho_S_S123</t>
  </si>
  <si>
    <t>res_CalPoly_8</t>
  </si>
  <si>
    <t>CalPoly8</t>
  </si>
  <si>
    <t>res_CalPoly_8_ABX_patho_S11</t>
  </si>
  <si>
    <t>res_CalPoly_8_control_S3</t>
  </si>
  <si>
    <t>res_CalPoly_8_patho_S19</t>
  </si>
  <si>
    <t>res_CalPoly_9</t>
  </si>
  <si>
    <t>CalPoly9</t>
  </si>
  <si>
    <t>res_CalPoly_9_ABX_patho_S127</t>
  </si>
  <si>
    <t>res_CalPoly_9_ABX_patho_S_S84</t>
  </si>
  <si>
    <t>res_CalPoly_9_control_S119</t>
  </si>
  <si>
    <t>res_CalPoly_9_control_S_S40</t>
  </si>
  <si>
    <t>res_CalPoly_9_patho_S135</t>
  </si>
  <si>
    <t>res_CalPoly_9_patho_S_S126</t>
  </si>
  <si>
    <t>res_UCDavis_1</t>
  </si>
  <si>
    <t>UCDavis</t>
  </si>
  <si>
    <t>UCDavis1</t>
  </si>
  <si>
    <t>res_UCDavis_1_ABX_patho_S10</t>
  </si>
  <si>
    <t>res_UCDavis_1_ABX_patho_S_S65</t>
  </si>
  <si>
    <t>res_UCDavis_1_control_S2</t>
  </si>
  <si>
    <t>res_UCDavis_1_control_S_S21</t>
  </si>
  <si>
    <t>res_UCDavis_1_patho_S18</t>
  </si>
  <si>
    <t>res_UCDavis_1_patho_S_S107</t>
  </si>
  <si>
    <t>res_UCDavis_10</t>
  </si>
  <si>
    <t>UCDavis10</t>
  </si>
  <si>
    <t>res_UCDavis_10_ABXpluspatho_S133</t>
  </si>
  <si>
    <t>res_UCDavis_10_control_S125</t>
  </si>
  <si>
    <t>res_UCDavis_10_patho_S141</t>
  </si>
  <si>
    <t>res_UCDavis_11</t>
  </si>
  <si>
    <t>UCDavis11</t>
  </si>
  <si>
    <t>res_UCDavis_11_ABXpluspatho_S181</t>
  </si>
  <si>
    <t>res_UCDavis_11_ABX_patho_S_S77</t>
  </si>
  <si>
    <t>res_UCDavis_11_control_S173</t>
  </si>
  <si>
    <t>res_UCDavis_11_control_S_S33</t>
  </si>
  <si>
    <t>res_UCDavis_11_patho_S189</t>
  </si>
  <si>
    <t>res_UCDavis_11_patho_S_S119</t>
  </si>
  <si>
    <t>res_UCDavis_12</t>
  </si>
  <si>
    <t>UCDavis12</t>
  </si>
  <si>
    <t>res_UCDavis_12_ABX_patho_S111</t>
  </si>
  <si>
    <t>res_UCDavis_12_ABX_patho_S_S72</t>
  </si>
  <si>
    <t>res_UCDavis_12_control_S103</t>
  </si>
  <si>
    <t>res_UCDavis_12_control_S_S28</t>
  </si>
  <si>
    <t>res_UCDavis_12_patho_S119</t>
  </si>
  <si>
    <t>res_UCDavis_12_patho_S_S114</t>
  </si>
  <si>
    <t>res_UCDavis_13</t>
  </si>
  <si>
    <t>UCDavis_13</t>
  </si>
  <si>
    <t>res_UCDavis_13_ABXpluspatho_S159</t>
  </si>
  <si>
    <t>res_UCDavis_13_control_S151</t>
  </si>
  <si>
    <t>res_UCDavis_13_patho_S167</t>
  </si>
  <si>
    <t>res_UCDavis_13_rep_ABX_S193</t>
  </si>
  <si>
    <t>UCDavis_13_rep</t>
  </si>
  <si>
    <t>res_UCDavis_13_rep_ABXpluspatho_S183</t>
  </si>
  <si>
    <t>res_UCDavis_13_rep_control_S175</t>
  </si>
  <si>
    <t>res_UCDavis_14</t>
  </si>
  <si>
    <t>UCDavis14</t>
  </si>
  <si>
    <t>res_UCDavis_14_ABX_patho_S112</t>
  </si>
  <si>
    <t>res_UCDavis_14_ABX_patho_S_S73</t>
  </si>
  <si>
    <t>res_UCDavis_14_control_S104</t>
  </si>
  <si>
    <t>res_UCDavis_14_control_S_S29</t>
  </si>
  <si>
    <t>res_UCDavis_14_patho_S120</t>
  </si>
  <si>
    <t>res_UCDavis_14_patho_S_S115</t>
  </si>
  <si>
    <t>res_UCDavis_2</t>
  </si>
  <si>
    <t>UCDavis2</t>
  </si>
  <si>
    <t>res_UCDavis_2_ABX_patho_S36</t>
  </si>
  <si>
    <t>res_UCDavis_2_ABX_patho_S_S67</t>
  </si>
  <si>
    <t>res_UCDavis_2_control_S28</t>
  </si>
  <si>
    <t>res_UCDavis_2_control_S_S23</t>
  </si>
  <si>
    <t>res_UCDavis_2_patho_S44</t>
  </si>
  <si>
    <t>res_UCDavis_2_patho_S_S109</t>
  </si>
  <si>
    <t>res_UCDavis_3</t>
  </si>
  <si>
    <t>UCDavis3</t>
  </si>
  <si>
    <t>res_UCDavis_3_ABX_patho_S84</t>
  </si>
  <si>
    <t>res_UCDavis_3_control_S76</t>
  </si>
  <si>
    <t>res_UCDavis_3_patho_S92</t>
  </si>
  <si>
    <t>res_UCDavis_4</t>
  </si>
  <si>
    <t>UCDavis4</t>
  </si>
  <si>
    <t>res_UCDavis_4_ABX_patho_S37</t>
  </si>
  <si>
    <t>res_UCDavis_4_ABX_patho_S_S68</t>
  </si>
  <si>
    <t>res_UCDavis_4_control_S29</t>
  </si>
  <si>
    <t>res_UCDavis_4_control_S_S24</t>
  </si>
  <si>
    <t>res_UCDavis_4_patho_S45</t>
  </si>
  <si>
    <t>res_UCDavis_4_patho_S_S110</t>
  </si>
  <si>
    <t>res_UCDavis_5</t>
  </si>
  <si>
    <t>UCDavis5</t>
  </si>
  <si>
    <t>res_UCDavis_5_ABX_patho_S15</t>
  </si>
  <si>
    <t>res_UCDavis_5_ABX_patho_S_S66</t>
  </si>
  <si>
    <t>res_UCDavis_5_control_S7</t>
  </si>
  <si>
    <t>res_UCDavis_5_control_S_S22</t>
  </si>
  <si>
    <t>res_UCDavis_5_patho_S23</t>
  </si>
  <si>
    <t>res_UCDavis_5_patho_S_S108</t>
  </si>
  <si>
    <t>UCDavis5_rep</t>
  </si>
  <si>
    <t>res_UCDavis_5_rep_ABX_patho_S_S69</t>
  </si>
  <si>
    <t>res_UCDavis_5_rep_ABX_patho_S39</t>
  </si>
  <si>
    <t>res_UCDavis_5_rep_control_S31</t>
  </si>
  <si>
    <t>res_UCDavis_5_rep_control_S_S25</t>
  </si>
  <si>
    <t>res_UCDavis_5_rep_patho_S47</t>
  </si>
  <si>
    <t>res_UCDavis_5_rep_patho_S_S111</t>
  </si>
  <si>
    <t>res_UCDavis_7</t>
  </si>
  <si>
    <t>UCDavis7</t>
  </si>
  <si>
    <t>res_UCDavis_7_ABX_patho_S88</t>
  </si>
  <si>
    <t>res_UCDavis_7_ABX_patho_S_S70</t>
  </si>
  <si>
    <t>res_UCDavis_7_control_S80</t>
  </si>
  <si>
    <t>res_UCDavis_7_control_S_S26</t>
  </si>
  <si>
    <t>res_UCDavis_7_patho_S98</t>
  </si>
  <si>
    <t>res_UCDavis_7_patho_S_S112</t>
  </si>
  <si>
    <t>res_UCDavis_8</t>
  </si>
  <si>
    <t>UCDavis_8</t>
  </si>
  <si>
    <t>res_UCDavis_8_ABX_patho_S107</t>
  </si>
  <si>
    <t>res_UCDavis_8_control_S99</t>
  </si>
  <si>
    <t>res_UCDavis_8_patho_S115</t>
  </si>
  <si>
    <t>res_UCDavis_9</t>
  </si>
  <si>
    <t>UCDavis9</t>
  </si>
  <si>
    <t>res_UCDavis_9_ABX_patho_S109</t>
  </si>
  <si>
    <t>res_UCDavis_9_ABX_patho_S_S71</t>
  </si>
  <si>
    <t>res_UCDavis_9_control_S101</t>
  </si>
  <si>
    <t>res_UCDavis_9_control_S_S27</t>
  </si>
  <si>
    <t>res_UCDavis_9_patho_S117</t>
  </si>
  <si>
    <t>res_UCDavis_9_patho_S_S113</t>
  </si>
  <si>
    <t>CA11</t>
  </si>
  <si>
    <t>CA11_rep</t>
  </si>
  <si>
    <t>1010.106842\</t>
  </si>
  <si>
    <t>frd_SM_1_ABX_patho_L_S7</t>
  </si>
  <si>
    <t>frd_SM_1_control_L_S93</t>
  </si>
  <si>
    <t>frd_SM_1_patho_L_S46</t>
  </si>
  <si>
    <t>frd_SM_2_ABX_patho_L_S2</t>
  </si>
  <si>
    <t>frd_SM_2_control_L_S88</t>
  </si>
  <si>
    <t>frd_SM_2_patho_L_S41</t>
  </si>
  <si>
    <t>frd_SM_2_rep_ABX_patho_L_S5</t>
  </si>
  <si>
    <t>frd_SM_2_rep_control_L_S91</t>
  </si>
  <si>
    <t>frd_SM_2_rep_patho_L_S44</t>
  </si>
  <si>
    <t>frd_SM_3_ABX_patho_L_S10</t>
  </si>
  <si>
    <t>frd_SM_3_control_L_S96</t>
  </si>
  <si>
    <t>frd_SM_3_patho_L_S49</t>
  </si>
  <si>
    <t>frd_SM_4_ABX_patho_L_S11</t>
  </si>
  <si>
    <t>frd_SM_4_control_L_S97</t>
  </si>
  <si>
    <t>frd_SM_4_patho_L_S50</t>
  </si>
  <si>
    <t>frd_SM_5_ABX_patho_L_S8</t>
  </si>
  <si>
    <t>frd_SM_5_control_L_S94</t>
  </si>
  <si>
    <t>frd_SM_5_patho_L_S47</t>
  </si>
  <si>
    <t>frd_SSR_1_ABX_patho_L_S6</t>
  </si>
  <si>
    <t>frd_SSR_1_control_L_S92</t>
  </si>
  <si>
    <t>frd_SSR_1_patho_L_S45</t>
  </si>
  <si>
    <t>frd_SSR_2_ABX_patho_L_S3</t>
  </si>
  <si>
    <t>frd_SSR_2_control_L_S89</t>
  </si>
  <si>
    <t>frd_SSR_2_patho_L_S42</t>
  </si>
  <si>
    <t>frd_SSR_3_ABX_patho_L_S1</t>
  </si>
  <si>
    <t>frd_SSR_3_control_L_S87</t>
  </si>
  <si>
    <t>frd_SSR_3_patho_L_S40</t>
  </si>
  <si>
    <t>frd_SSR_3_rep_ABX_patho_L_S4</t>
  </si>
  <si>
    <t>frd_SSR_3_rep_control_L_S90</t>
  </si>
  <si>
    <t>frd_SSR_3_rep_patho_L_S43</t>
  </si>
  <si>
    <t>frd_VT_1_ABX_patho_L_S9</t>
  </si>
  <si>
    <t>frd_VT_1_control_L_S95</t>
  </si>
  <si>
    <t>frd_VT_1_patho_L_S48</t>
  </si>
  <si>
    <t>frd_VT_2_ABX_patho_L_S16</t>
  </si>
  <si>
    <t>frd_VT_2_control_L_S102</t>
  </si>
  <si>
    <t>frd_VT_2_patho_L_S55</t>
  </si>
  <si>
    <t>frd_VT_2_rep_ABX_patho_L_S12</t>
  </si>
  <si>
    <t>frd_VT_2_rep_control_L_S98</t>
  </si>
  <si>
    <t>frd_VT_2_rep_patho_L_S51</t>
  </si>
  <si>
    <t>frd_VT_3_ABX_patho_L_S14</t>
  </si>
  <si>
    <t>frd_VT_3_control_L_S100</t>
  </si>
  <si>
    <t>frd_VT_3_patho_L_S53</t>
  </si>
  <si>
    <t>frd_VT_3_rep_ABX_patho_L_S13</t>
  </si>
  <si>
    <t>frd_VT_3_rep_control_L_S99</t>
  </si>
  <si>
    <t>frd_VT_3_rep_patho_L_S52</t>
  </si>
  <si>
    <t>frd_VT_4_ABX_patho_L_S15</t>
  </si>
  <si>
    <t>frd_VT_4_control_L_S101</t>
  </si>
  <si>
    <t>frd_VT_4_patho_L_S54</t>
  </si>
  <si>
    <t>frd_VT_5_ABX_patho_L_S19</t>
  </si>
  <si>
    <t>frd_VT_5_control_L_S105</t>
  </si>
  <si>
    <t>frd_VT_5_patho_L_S58</t>
  </si>
  <si>
    <t>frd_VT_5_rep_ABX_patho_L_S17</t>
  </si>
  <si>
    <t>frd_VT_5_rep_control_L_S103</t>
  </si>
  <si>
    <t>frd_VT_5_rep_patho_L_S56</t>
  </si>
  <si>
    <t>frd_VT_6_ABX_patho_L_S18</t>
  </si>
  <si>
    <t>frd_VT_6_control_L_S104</t>
  </si>
  <si>
    <t>frd_VT_6_patho_L_S57</t>
  </si>
  <si>
    <t>frd_VT_6_rep_ABX_patho_L_S20</t>
  </si>
  <si>
    <t>frd_VT_6_rep_control_L_S106</t>
  </si>
  <si>
    <t>frd_VT_6_rep_patho_L_S59</t>
  </si>
  <si>
    <t>frd_VT_7_ABX_patho_L_S21</t>
  </si>
  <si>
    <t>frd_VT_7_control_L_S107</t>
  </si>
  <si>
    <t>frd_VT_7_patho_L_S103</t>
  </si>
  <si>
    <t>frw_AL_1_ABX_patho_L_S22</t>
  </si>
  <si>
    <t>frw_AL_1_control_L_S108</t>
  </si>
  <si>
    <t>frw_AL_1_patho_L_S104</t>
  </si>
  <si>
    <t>frw_AL_10_ABX_patho_L_S27</t>
  </si>
  <si>
    <t>frw_AL_10_control_L_S113</t>
  </si>
  <si>
    <t>frw_AL_10_patho_L_S109</t>
  </si>
  <si>
    <t>frw_AL_10_rep_ABX_patho_L_S28</t>
  </si>
  <si>
    <t>frw_AL_10_rep_control_L_S114</t>
  </si>
  <si>
    <t>frw_AL_10_rep_patho_L_S110</t>
  </si>
  <si>
    <t>frw_AL_11_ABX_patho_L_S30</t>
  </si>
  <si>
    <t>frw_AL_11_control_L_S116</t>
  </si>
  <si>
    <t>frw_AL_11_patho_L_S112</t>
  </si>
  <si>
    <t>frw_AL_12_ABX_patho_L_S29</t>
  </si>
  <si>
    <t>frw_AL_12_control_L_S115</t>
  </si>
  <si>
    <t>frw_AL_12_patho_L_S111</t>
  </si>
  <si>
    <t>frw_AL_14_ABX_patho_L_S35</t>
  </si>
  <si>
    <t>frw_AL_14_control_L_S121</t>
  </si>
  <si>
    <t>frw_AL_14_patho_L_S117</t>
  </si>
  <si>
    <t>frw_AL_15_ABX_patho_L_S33</t>
  </si>
  <si>
    <t>frw_AL_15_control_L_S119</t>
  </si>
  <si>
    <t>frw_AL_15_patho_L_S115</t>
  </si>
  <si>
    <t>frw_AL_2_ABX_patho_L_S23</t>
  </si>
  <si>
    <t>frw_AL_2_control_L_S109</t>
  </si>
  <si>
    <t>frw_AL_2_patho_L_S105</t>
  </si>
  <si>
    <t>frw_AL_5_ABX_patho_L_S26</t>
  </si>
  <si>
    <t>frw_AL_5_control_L_S112</t>
  </si>
  <si>
    <t>frw_AL_5_patho_L_S108</t>
  </si>
  <si>
    <t>frw_AL_6_ABX_patho_L_S24</t>
  </si>
  <si>
    <t>frw_AL_6_control_L_S110</t>
  </si>
  <si>
    <t>frw_AL_6_patho_L_S106</t>
  </si>
  <si>
    <t>frw_AL_7_ABX_patho_L_S25</t>
  </si>
  <si>
    <t>frw_AL_7_control_L_S111</t>
  </si>
  <si>
    <t>frw_AL_7_patho_L_S107</t>
  </si>
  <si>
    <t>frw_CA_1_ABX_patho_L_S36</t>
  </si>
  <si>
    <t>frw_CA_1_control_L_S122</t>
  </si>
  <si>
    <t>frw_CA_1_patho_L_S118</t>
  </si>
  <si>
    <t>frw_CA_10_ABX_patho_L_S43</t>
  </si>
  <si>
    <t>frw_CA_10_control_L_S129</t>
  </si>
  <si>
    <t>frw_CA_10_patho_L_S125</t>
  </si>
  <si>
    <t>frw_CA_12_ABX_patho_L_S41</t>
  </si>
  <si>
    <t>frw_CA_12_control_L_S127</t>
  </si>
  <si>
    <t>frw_CA_12_patho_L_S123</t>
  </si>
  <si>
    <t>frw_CA_14_ABX_patho_L_S42</t>
  </si>
  <si>
    <t>frw_CA_14_control_L_S128</t>
  </si>
  <si>
    <t>frw_CA_14_patho_L_S124</t>
  </si>
  <si>
    <t>frw_CA_3_ABX_patho_L_S31</t>
  </si>
  <si>
    <t>frw_CA_3_control_L_S117</t>
  </si>
  <si>
    <t>frw_CA_3_patho_L_S113</t>
  </si>
  <si>
    <t>frw_CA_3_rep_ABX_patho_L_S34</t>
  </si>
  <si>
    <t>frw_CA_3_rep_control_L_S120</t>
  </si>
  <si>
    <t>frw_CA_3_rep_patho_L_S116</t>
  </si>
  <si>
    <t>frw_CA_5_ABX_patho_L_S38</t>
  </si>
  <si>
    <t>frw_CA_5_control_L_S124</t>
  </si>
  <si>
    <t>frw_CA_5_patho_L_S120</t>
  </si>
  <si>
    <t>frw_CA_6_ABX_patho_L_S39</t>
  </si>
  <si>
    <t>frw_CA_6_control_L_S125</t>
  </si>
  <si>
    <t>frw_CA_6_patho_L_S121</t>
  </si>
  <si>
    <t>frw_CA_7_ABX_patho_L_S32</t>
  </si>
  <si>
    <t>frw_CA_7_control_L_S118</t>
  </si>
  <si>
    <t>frw_CA_7_patho_L_S114</t>
  </si>
  <si>
    <t>frw_CA_8_ABX_patho_L_S37</t>
  </si>
  <si>
    <t>frw_CA_8_control_L_S123</t>
  </si>
  <si>
    <t>frw_CA_8_patho_L_S119</t>
  </si>
  <si>
    <t>frw_CA_9_ABX_patho_L_S40</t>
  </si>
  <si>
    <t>frw_CA_9_control_L_S126</t>
  </si>
  <si>
    <t>frw_CA_9_patho_L_S122</t>
  </si>
  <si>
    <t>ind_NC1_1_ABX_patho_L_S48</t>
  </si>
  <si>
    <t>ind_NC1_1_control_L_S1</t>
  </si>
  <si>
    <t>ind_NC1_1_patho_L_S130</t>
  </si>
  <si>
    <t>ind_NC1_10_ABX_patho_L_S50</t>
  </si>
  <si>
    <t>ind_NC1_10_control_L_S3</t>
  </si>
  <si>
    <t>ind_NC1_10_patho_L_S60</t>
  </si>
  <si>
    <t>ind_NC1_10_rep_ABX_patho_L_S51</t>
  </si>
  <si>
    <t>ind_NC1_10_rep_control_L_S4</t>
  </si>
  <si>
    <t>ind_NC1_10_rep_patho_L_S61</t>
  </si>
  <si>
    <t>ind_NC1_3_ABX_patho_L_S44</t>
  </si>
  <si>
    <t>ind_NC1_3_control_L_S130</t>
  </si>
  <si>
    <t>ind_NC1_3_patho_L_S126</t>
  </si>
  <si>
    <t>ind_NC1_4_ABX_patho_L_S45</t>
  </si>
  <si>
    <t>ind_NC1_4_control_L_S131</t>
  </si>
  <si>
    <t>ind_NC1_4_patho_L_S127</t>
  </si>
  <si>
    <t>ind_NC1_5_ABX_patho_L_S46</t>
  </si>
  <si>
    <t>ind_NC1_5_control_L_S132</t>
  </si>
  <si>
    <t>ind_NC1_5_patho_L_S128</t>
  </si>
  <si>
    <t>ind_NC1_7_ABX_patho_L_S47</t>
  </si>
  <si>
    <t>ind_NC1_7_control_L_S133</t>
  </si>
  <si>
    <t>ind_NC1_7_patho_L_S129</t>
  </si>
  <si>
    <t>ind_NC1_8_ABX_patho_L_S49</t>
  </si>
  <si>
    <t>ind_NC1_8_control_L_S2</t>
  </si>
  <si>
    <t>ind_NC1_8_patho_L_S131</t>
  </si>
  <si>
    <t>ind_NC2_1_ABX_patho_L_S54</t>
  </si>
  <si>
    <t>ind_NC2_1_control_L_S7</t>
  </si>
  <si>
    <t>ind_NC2_1_patho_L_S64</t>
  </si>
  <si>
    <t>ind_NC2_10_ABX_patho_L_S59</t>
  </si>
  <si>
    <t>ind_NC2_10_control_L_S12</t>
  </si>
  <si>
    <t>ind_NC2_10_patho_L_S69</t>
  </si>
  <si>
    <t>ind_NC2_11_ABX_patho_L_S62</t>
  </si>
  <si>
    <t>ind_NC2_11_control_L_S15</t>
  </si>
  <si>
    <t>ind_NC2_11_patho_L_S72</t>
  </si>
  <si>
    <t>ind_NC2_13_ABX_patho_L_S60</t>
  </si>
  <si>
    <t>ind_NC2_13_control_L_S13</t>
  </si>
  <si>
    <t>ind_NC2_13_patho_L_S70</t>
  </si>
  <si>
    <t>ind_NC2_14_ABX_patho_L_S63</t>
  </si>
  <si>
    <t>ind_NC2_14_control_L_S16</t>
  </si>
  <si>
    <t>ind_NC2_14_patho_L_S73</t>
  </si>
  <si>
    <t>ind_NC2_16_ABX_patho_L_S64</t>
  </si>
  <si>
    <t>ind_NC2_16_control_L_S17</t>
  </si>
  <si>
    <t>ind_NC2_16_patho_L_S74</t>
  </si>
  <si>
    <t>ind_NC2_17_ABX_patho_L_S61</t>
  </si>
  <si>
    <t>ind_NC2_17_control_L_S14</t>
  </si>
  <si>
    <t>ind_NC2_17_patho_L_S71</t>
  </si>
  <si>
    <t>ind_NC2_2_ABX_patho_L_S52</t>
  </si>
  <si>
    <t>ind_NC2_2_control_L_S5</t>
  </si>
  <si>
    <t>ind_NC2_2_patho_L_S62</t>
  </si>
  <si>
    <t>ind_NC2_3_ABX_patho_L_S53</t>
  </si>
  <si>
    <t>ind_NC2_3_control_L_S6</t>
  </si>
  <si>
    <t>ind_NC2_3_patho_L_S63</t>
  </si>
  <si>
    <t>ind_NC2_5_ABX_patho_L_S55</t>
  </si>
  <si>
    <t>ind_NC2_5_control_L_S8</t>
  </si>
  <si>
    <t>ind_NC2_5_patho_L_S65</t>
  </si>
  <si>
    <t>ind_NC2_6_ABX_patho_L_S57</t>
  </si>
  <si>
    <t>ind_NC2_6_control_L_S10</t>
  </si>
  <si>
    <t>ind_NC2_6_patho_L_S67</t>
  </si>
  <si>
    <t>ind_NC2_6_rep_ABX_patho_L_S58</t>
  </si>
  <si>
    <t>ind_NC2_6_rep_control_L_S11</t>
  </si>
  <si>
    <t>ind_NC2_6_rep_patho_L_S68</t>
  </si>
  <si>
    <t>ind_NC2_9_ABX_patho_L_S56</t>
  </si>
  <si>
    <t>ind_NC2_9_control_L_S9</t>
  </si>
  <si>
    <t>ind_NC2_9_patho_L_S66</t>
  </si>
  <si>
    <t>res_CalPoly_1_ABX_patho_L_S75</t>
  </si>
  <si>
    <t>res_CalPoly_1_control_L_S28</t>
  </si>
  <si>
    <t>res_CalPoly_12_ABX_patho_L_S83</t>
  </si>
  <si>
    <t>res_CalPoly_12_control_L_S36</t>
  </si>
  <si>
    <t>res_CalPoly_13_ABX_patho_L_S85</t>
  </si>
  <si>
    <t>res_CalPoly_13_control_L_S38</t>
  </si>
  <si>
    <t>res_CalPoly_14_ABX_patho_L_S86</t>
  </si>
  <si>
    <t>res_CalPoly_14_control_L_S39</t>
  </si>
  <si>
    <t>res_CalPoly_2_ABX_patho_L_S76</t>
  </si>
  <si>
    <t>res_CalPoly_2_control_L_S29</t>
  </si>
  <si>
    <t>res_CalPoly_3_ABX_patho_L_S74</t>
  </si>
  <si>
    <t>res_CalPoly_3_control_L_S27</t>
  </si>
  <si>
    <t>res_CalPoly_4_ABX_patho_L_S78</t>
  </si>
  <si>
    <t>res_CalPoly_4_control_L_S31</t>
  </si>
  <si>
    <t>res_CalPoly_5_ABX_patho_L_S82</t>
  </si>
  <si>
    <t>res_CalPoly_5_control_L_S35</t>
  </si>
  <si>
    <t>res_CalPoly_6_ABX_patho_L_S79</t>
  </si>
  <si>
    <t>res_CalPoly_6_control_L_S32</t>
  </si>
  <si>
    <t>res_CalPoly_6_rep_ABX_patho_L_S80</t>
  </si>
  <si>
    <t>res_CalPoly_6_rep_control_L_S33</t>
  </si>
  <si>
    <t>res_CalPoly_7_ABX_patho_L_S81</t>
  </si>
  <si>
    <t>res_CalPoly_7_control_L_S34</t>
  </si>
  <si>
    <t>res_CalPoly_9_ABX_patho_L_S84</t>
  </si>
  <si>
    <t>res_CalPoly_9_control_L_S37</t>
  </si>
  <si>
    <t>res_UCDavis_1_ABX_patho_L_S65</t>
  </si>
  <si>
    <t>res_UCDavis_1_control_L_S18</t>
  </si>
  <si>
    <t>res_UCDavis_1_patho_L_S75</t>
  </si>
  <si>
    <t>res_UCDavis_11_ABX_patho_L_S77</t>
  </si>
  <si>
    <t>res_UCDavis_11_control_L_S30</t>
  </si>
  <si>
    <t>res_UCDavis_12_ABX_patho_L_S72</t>
  </si>
  <si>
    <t>res_UCDavis_12_control_L_S25</t>
  </si>
  <si>
    <t>res_UCDavis_12_patho_L_S82</t>
  </si>
  <si>
    <t>res_UCDavis_14_ABX_patho_L_S73</t>
  </si>
  <si>
    <t>res_UCDavis_14_control_L_S26</t>
  </si>
  <si>
    <t>res_UCDavis_14_patho_L_S83</t>
  </si>
  <si>
    <t>res_UCDavis_2_ABX_patho_L_S67</t>
  </si>
  <si>
    <t>res_UCDavis_2_control_L_S20</t>
  </si>
  <si>
    <t>res_UCDavis_2_patho_L_S77</t>
  </si>
  <si>
    <t>res_UCDavis_4_ABX_patho_L_S68</t>
  </si>
  <si>
    <t>res_UCDavis_4_control_L_S21</t>
  </si>
  <si>
    <t>res_UCDavis_4_patho_L_S78</t>
  </si>
  <si>
    <t>res_UCDavis_5_ABX_patho_L_S66</t>
  </si>
  <si>
    <t>res_UCDavis_5_control_L_S19</t>
  </si>
  <si>
    <t>res_UCDavis_5_patho_L_S76</t>
  </si>
  <si>
    <t>res_UCDavis_5_rep_ABX_patho_L_S69</t>
  </si>
  <si>
    <t>res_UCDavis_5_rep_control_L_S22</t>
  </si>
  <si>
    <t>res_UCDavis_5_rep_patho_L_S79</t>
  </si>
  <si>
    <t>res_UCDavis_7_ABX_patho_L_S70</t>
  </si>
  <si>
    <t>res_UCDavis_7_control_L_S23</t>
  </si>
  <si>
    <t>res_UCDavis_7_patho_L_S80</t>
  </si>
  <si>
    <t>res_UCDavis_9_ABX_patho_L_S71</t>
  </si>
  <si>
    <t>res_UCDavis_9_control_L_S24</t>
  </si>
  <si>
    <t>res_UCDavis_9_patho_L_S81</t>
  </si>
  <si>
    <t>Dissimilarity_to_control</t>
  </si>
  <si>
    <t>Domcat.Treatment</t>
  </si>
  <si>
    <t>res_CalPoly_9_patho_L_S94</t>
  </si>
  <si>
    <t>res_CalPoly_7_patho_L_S91</t>
  </si>
  <si>
    <t>res_CalPoly_6_rep_patho_L_S90</t>
  </si>
  <si>
    <t>res_CalPoly_6_patho_L_S89</t>
  </si>
  <si>
    <t>res_CalPoly_4_patho_L_S88</t>
  </si>
  <si>
    <t>res_CalPoly_3_patho_L_S84</t>
  </si>
  <si>
    <t>res_CalPoly_2_patho_L_S86</t>
  </si>
  <si>
    <t>res_CalPoly_14_patho_L_S96</t>
  </si>
  <si>
    <t>res_CalPoly_13_patho_L_S95</t>
  </si>
  <si>
    <t>res_CalPoly_12_patho_L_S93</t>
  </si>
  <si>
    <t>res_CalPoly_1_patho_L_S85</t>
  </si>
  <si>
    <t>res_CalPoly_5_patho_L_S92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</si>
</sst>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rgb="FF00000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18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Q1002"/>
  <sheetViews>
    <sheetView tabSelected="1" topLeftCell="A872" workbookViewId="0">
      <selection activeCell="B898" sqref="B898"/>
    </sheetView>
  </sheetViews>
  <sheetFormatPr baseColWidth="10" defaultRowHeight="16" x14ac:dyDescent="0.2"/>
  <cols>
    <col min="1" max="1" width="33.33203125" customWidth="1"/>
    <col min="2" max="2" width="26.5" customWidth="1"/>
    <col min="5" max="5" width="12.1640625" bestFit="1" customWidth="1"/>
  </cols>
  <sheetData>
    <row r="1" spans="1:17" x14ac:dyDescent="0.2">
      <c r="A1" t="s">
        <v>0</v>
      </c>
      <c r="B1" t="s">
        <v>1161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1162</v>
      </c>
      <c r="N1" t="s">
        <v>11</v>
      </c>
      <c r="O1" t="s">
        <v>12</v>
      </c>
      <c r="P1" t="s">
        <v>13</v>
      </c>
      <c r="Q1" t="s">
        <v>14</v>
      </c>
    </row>
    <row r="2" spans="1:17" x14ac:dyDescent="0.2">
      <c r="A2" t="s">
        <v>15</v>
      </c>
      <c r="B2" t="s">
        <v>16</v>
      </c>
      <c r="C2" t="s">
        <v>16</v>
      </c>
      <c r="D2">
        <v>0</v>
      </c>
      <c r="E2">
        <v>0</v>
      </c>
      <c r="F2" t="s">
        <v>17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  <c r="L2" t="s">
        <v>16</v>
      </c>
      <c r="M2" t="s">
        <v>16</v>
      </c>
      <c r="N2" t="s">
        <v>16</v>
      </c>
      <c r="O2" t="s">
        <v>16</v>
      </c>
      <c r="P2" t="s">
        <v>16</v>
      </c>
      <c r="Q2" t="s">
        <v>16</v>
      </c>
    </row>
    <row r="3" spans="1:17" x14ac:dyDescent="0.2">
      <c r="A3" t="s">
        <v>18</v>
      </c>
      <c r="B3" t="s">
        <v>16</v>
      </c>
      <c r="C3" t="s">
        <v>16</v>
      </c>
      <c r="D3">
        <v>0</v>
      </c>
      <c r="E3">
        <v>0</v>
      </c>
      <c r="F3" t="s">
        <v>19</v>
      </c>
      <c r="G3" t="s">
        <v>16</v>
      </c>
      <c r="H3" t="s">
        <v>16</v>
      </c>
      <c r="I3" t="s">
        <v>16</v>
      </c>
      <c r="J3" t="s">
        <v>16</v>
      </c>
      <c r="K3" t="s">
        <v>16</v>
      </c>
      <c r="L3" t="s">
        <v>16</v>
      </c>
      <c r="M3" t="s">
        <v>16</v>
      </c>
      <c r="N3" t="s">
        <v>16</v>
      </c>
      <c r="O3" t="s">
        <v>16</v>
      </c>
      <c r="P3" t="s">
        <v>16</v>
      </c>
      <c r="Q3" t="s">
        <v>16</v>
      </c>
    </row>
    <row r="4" spans="1:17" x14ac:dyDescent="0.2">
      <c r="A4" t="s">
        <v>20</v>
      </c>
      <c r="B4" t="s">
        <v>16</v>
      </c>
      <c r="C4" t="s">
        <v>16</v>
      </c>
      <c r="D4">
        <v>0</v>
      </c>
      <c r="E4">
        <v>0</v>
      </c>
      <c r="F4" t="s">
        <v>19</v>
      </c>
      <c r="G4" t="s">
        <v>16</v>
      </c>
      <c r="H4" t="s">
        <v>16</v>
      </c>
      <c r="I4" t="s">
        <v>16</v>
      </c>
      <c r="J4" t="s">
        <v>16</v>
      </c>
      <c r="K4" t="s">
        <v>16</v>
      </c>
      <c r="L4" t="s">
        <v>16</v>
      </c>
      <c r="M4" t="s">
        <v>16</v>
      </c>
      <c r="N4" t="s">
        <v>16</v>
      </c>
      <c r="O4" t="s">
        <v>16</v>
      </c>
      <c r="P4" t="s">
        <v>16</v>
      </c>
      <c r="Q4" t="s">
        <v>16</v>
      </c>
    </row>
    <row r="5" spans="1:17" x14ac:dyDescent="0.2">
      <c r="A5" t="s">
        <v>21</v>
      </c>
      <c r="B5" t="s">
        <v>16</v>
      </c>
      <c r="C5" t="s">
        <v>16</v>
      </c>
      <c r="D5">
        <v>0</v>
      </c>
      <c r="E5">
        <v>0</v>
      </c>
      <c r="F5" t="s">
        <v>19</v>
      </c>
      <c r="G5" t="s">
        <v>16</v>
      </c>
      <c r="H5" t="s">
        <v>16</v>
      </c>
      <c r="I5" t="s">
        <v>16</v>
      </c>
      <c r="J5" t="s">
        <v>16</v>
      </c>
      <c r="K5" t="s">
        <v>16</v>
      </c>
      <c r="L5" t="s">
        <v>16</v>
      </c>
      <c r="M5" t="s">
        <v>16</v>
      </c>
      <c r="N5" t="s">
        <v>16</v>
      </c>
      <c r="O5" t="s">
        <v>16</v>
      </c>
      <c r="P5" t="s">
        <v>16</v>
      </c>
      <c r="Q5" t="s">
        <v>16</v>
      </c>
    </row>
    <row r="6" spans="1:17" x14ac:dyDescent="0.2">
      <c r="A6" t="s">
        <v>22</v>
      </c>
      <c r="B6" t="s">
        <v>16</v>
      </c>
      <c r="C6" t="s">
        <v>16</v>
      </c>
      <c r="D6">
        <v>0</v>
      </c>
      <c r="E6">
        <v>0</v>
      </c>
      <c r="F6" t="s">
        <v>19</v>
      </c>
      <c r="G6" t="s">
        <v>16</v>
      </c>
      <c r="H6" t="s">
        <v>16</v>
      </c>
      <c r="I6" t="s">
        <v>16</v>
      </c>
      <c r="J6" t="s">
        <v>16</v>
      </c>
      <c r="K6" t="s">
        <v>16</v>
      </c>
      <c r="L6" t="s">
        <v>16</v>
      </c>
      <c r="M6" t="s">
        <v>16</v>
      </c>
      <c r="N6" t="s">
        <v>16</v>
      </c>
      <c r="O6" t="s">
        <v>16</v>
      </c>
      <c r="P6" t="s">
        <v>16</v>
      </c>
      <c r="Q6" t="s">
        <v>16</v>
      </c>
    </row>
    <row r="7" spans="1:17" x14ac:dyDescent="0.2">
      <c r="A7" t="s">
        <v>23</v>
      </c>
      <c r="B7" t="s">
        <v>16</v>
      </c>
      <c r="C7" t="s">
        <v>16</v>
      </c>
      <c r="D7">
        <v>0</v>
      </c>
      <c r="E7">
        <v>0</v>
      </c>
      <c r="F7" t="s">
        <v>19</v>
      </c>
      <c r="G7" t="s">
        <v>16</v>
      </c>
      <c r="H7" t="s">
        <v>16</v>
      </c>
      <c r="I7" t="s">
        <v>16</v>
      </c>
      <c r="J7" t="s">
        <v>16</v>
      </c>
      <c r="K7" t="s">
        <v>16</v>
      </c>
      <c r="L7" t="s">
        <v>16</v>
      </c>
      <c r="M7" t="s">
        <v>16</v>
      </c>
      <c r="N7" t="s">
        <v>16</v>
      </c>
      <c r="O7" t="s">
        <v>16</v>
      </c>
      <c r="P7" t="s">
        <v>16</v>
      </c>
      <c r="Q7" t="s">
        <v>16</v>
      </c>
    </row>
    <row r="8" spans="1:17" x14ac:dyDescent="0.2">
      <c r="A8" t="s">
        <v>24</v>
      </c>
      <c r="B8" t="s">
        <v>16</v>
      </c>
      <c r="C8" t="s">
        <v>16</v>
      </c>
      <c r="D8">
        <v>0</v>
      </c>
      <c r="E8">
        <v>0</v>
      </c>
      <c r="F8" t="s">
        <v>19</v>
      </c>
      <c r="G8" t="s">
        <v>16</v>
      </c>
      <c r="H8" t="s">
        <v>16</v>
      </c>
      <c r="I8" t="s">
        <v>16</v>
      </c>
      <c r="J8" t="s">
        <v>16</v>
      </c>
      <c r="K8" t="s">
        <v>16</v>
      </c>
      <c r="L8" t="s">
        <v>16</v>
      </c>
      <c r="M8" t="s">
        <v>16</v>
      </c>
      <c r="N8" t="s">
        <v>16</v>
      </c>
      <c r="O8" t="s">
        <v>16</v>
      </c>
      <c r="P8" t="s">
        <v>16</v>
      </c>
      <c r="Q8" t="s">
        <v>16</v>
      </c>
    </row>
    <row r="9" spans="1:17" x14ac:dyDescent="0.2">
      <c r="A9" t="s">
        <v>25</v>
      </c>
      <c r="B9" t="s">
        <v>16</v>
      </c>
      <c r="C9" t="s">
        <v>16</v>
      </c>
      <c r="D9" t="s">
        <v>16</v>
      </c>
      <c r="E9" t="s">
        <v>16</v>
      </c>
      <c r="F9" t="s">
        <v>26</v>
      </c>
      <c r="G9" t="s">
        <v>26</v>
      </c>
      <c r="H9" t="s">
        <v>16</v>
      </c>
      <c r="I9" t="s">
        <v>16</v>
      </c>
      <c r="J9" t="s">
        <v>16</v>
      </c>
      <c r="K9" t="s">
        <v>16</v>
      </c>
      <c r="L9" t="s">
        <v>27</v>
      </c>
      <c r="M9" t="str">
        <f>CONCATENATE(G9, L9)</f>
        <v>fecalfree-ranging domestic</v>
      </c>
      <c r="N9" t="s">
        <v>28</v>
      </c>
      <c r="O9" t="s">
        <v>29</v>
      </c>
      <c r="P9" t="s">
        <v>30</v>
      </c>
      <c r="Q9" t="s">
        <v>16</v>
      </c>
    </row>
    <row r="10" spans="1:17" x14ac:dyDescent="0.2">
      <c r="A10" t="s">
        <v>31</v>
      </c>
      <c r="B10">
        <v>0.25603323900000002</v>
      </c>
      <c r="C10">
        <v>20.567102210000002</v>
      </c>
      <c r="D10">
        <v>0</v>
      </c>
      <c r="E10">
        <v>0</v>
      </c>
      <c r="F10" t="s">
        <v>19</v>
      </c>
      <c r="G10" t="s">
        <v>32</v>
      </c>
      <c r="H10" t="s">
        <v>16</v>
      </c>
      <c r="I10" t="s">
        <v>16</v>
      </c>
      <c r="J10" t="s">
        <v>16</v>
      </c>
      <c r="K10" t="s">
        <v>16</v>
      </c>
      <c r="L10" t="s">
        <v>27</v>
      </c>
      <c r="M10" t="str">
        <f t="shared" ref="M10:M73" si="0">CONCATENATE(G10, L10)</f>
        <v>abx_challengedfree-ranging domestic</v>
      </c>
      <c r="N10" t="s">
        <v>28</v>
      </c>
      <c r="O10" t="s">
        <v>29</v>
      </c>
      <c r="P10" t="s">
        <v>30</v>
      </c>
      <c r="Q10">
        <v>0</v>
      </c>
    </row>
    <row r="11" spans="1:17" x14ac:dyDescent="0.2">
      <c r="A11" t="s">
        <v>916</v>
      </c>
      <c r="B11">
        <v>9.2842901000000005E-2</v>
      </c>
      <c r="C11">
        <v>43663505.289999999</v>
      </c>
      <c r="D11">
        <v>87327.010590000005</v>
      </c>
      <c r="E11">
        <v>17465402.120000001</v>
      </c>
      <c r="F11" t="s">
        <v>33</v>
      </c>
      <c r="G11" t="s">
        <v>32</v>
      </c>
      <c r="H11" t="s">
        <v>16</v>
      </c>
      <c r="I11" t="s">
        <v>16</v>
      </c>
      <c r="J11" t="s">
        <v>16</v>
      </c>
      <c r="K11" t="s">
        <v>16</v>
      </c>
      <c r="L11" t="s">
        <v>27</v>
      </c>
      <c r="M11" t="str">
        <f t="shared" si="0"/>
        <v>abx_challengedfree-ranging domestic</v>
      </c>
      <c r="N11" t="s">
        <v>28</v>
      </c>
      <c r="O11" t="s">
        <v>29</v>
      </c>
      <c r="P11" t="s">
        <v>30</v>
      </c>
      <c r="Q11">
        <v>87327.010590000005</v>
      </c>
    </row>
    <row r="12" spans="1:17" x14ac:dyDescent="0.2">
      <c r="A12" t="s">
        <v>34</v>
      </c>
      <c r="B12">
        <v>0.22560776199999999</v>
      </c>
      <c r="C12">
        <v>9348056.8770000003</v>
      </c>
      <c r="D12">
        <v>56088.341260000001</v>
      </c>
      <c r="E12">
        <v>11217668.25</v>
      </c>
      <c r="F12" t="s">
        <v>17</v>
      </c>
      <c r="G12" t="s">
        <v>32</v>
      </c>
      <c r="H12" t="s">
        <v>16</v>
      </c>
      <c r="I12" t="s">
        <v>16</v>
      </c>
      <c r="J12" t="s">
        <v>16</v>
      </c>
      <c r="K12" t="s">
        <v>16</v>
      </c>
      <c r="L12" t="s">
        <v>27</v>
      </c>
      <c r="M12" t="str">
        <f t="shared" si="0"/>
        <v>abx_challengedfree-ranging domestic</v>
      </c>
      <c r="N12" t="s">
        <v>28</v>
      </c>
      <c r="O12" t="s">
        <v>29</v>
      </c>
      <c r="P12" t="s">
        <v>30</v>
      </c>
      <c r="Q12">
        <v>56088.341260000001</v>
      </c>
    </row>
    <row r="13" spans="1:17" x14ac:dyDescent="0.2">
      <c r="A13" t="s">
        <v>35</v>
      </c>
      <c r="B13">
        <v>0</v>
      </c>
      <c r="C13">
        <v>56.14283288</v>
      </c>
      <c r="D13">
        <v>0</v>
      </c>
      <c r="E13">
        <v>0</v>
      </c>
      <c r="F13" t="s">
        <v>19</v>
      </c>
      <c r="G13" t="s">
        <v>36</v>
      </c>
      <c r="H13" t="s">
        <v>37</v>
      </c>
      <c r="I13">
        <v>1850.686657</v>
      </c>
      <c r="J13" t="s">
        <v>37</v>
      </c>
      <c r="K13">
        <v>0</v>
      </c>
      <c r="L13" t="s">
        <v>27</v>
      </c>
      <c r="M13" t="str">
        <f t="shared" si="0"/>
        <v>controlfree-ranging domestic</v>
      </c>
      <c r="N13" t="s">
        <v>28</v>
      </c>
      <c r="O13" t="s">
        <v>29</v>
      </c>
      <c r="P13" t="s">
        <v>30</v>
      </c>
      <c r="Q13" t="s">
        <v>16</v>
      </c>
    </row>
    <row r="14" spans="1:17" x14ac:dyDescent="0.2">
      <c r="A14" t="s">
        <v>917</v>
      </c>
      <c r="B14">
        <v>0</v>
      </c>
      <c r="C14">
        <v>341382343.89999998</v>
      </c>
      <c r="D14">
        <v>2048294.064</v>
      </c>
      <c r="E14">
        <v>409658812.69999999</v>
      </c>
      <c r="F14" t="s">
        <v>33</v>
      </c>
      <c r="G14" t="s">
        <v>36</v>
      </c>
      <c r="H14" t="s">
        <v>38</v>
      </c>
      <c r="I14">
        <v>13229540333</v>
      </c>
      <c r="J14" t="s">
        <v>38</v>
      </c>
      <c r="K14">
        <v>17465402.120000001</v>
      </c>
      <c r="L14" t="s">
        <v>27</v>
      </c>
      <c r="M14" t="str">
        <f t="shared" si="0"/>
        <v>controlfree-ranging domestic</v>
      </c>
      <c r="N14" t="s">
        <v>28</v>
      </c>
      <c r="O14" t="s">
        <v>29</v>
      </c>
      <c r="P14" t="s">
        <v>30</v>
      </c>
      <c r="Q14" t="s">
        <v>16</v>
      </c>
    </row>
    <row r="15" spans="1:17" x14ac:dyDescent="0.2">
      <c r="A15" t="s">
        <v>39</v>
      </c>
      <c r="B15">
        <v>0</v>
      </c>
      <c r="C15" t="s">
        <v>16</v>
      </c>
      <c r="D15">
        <v>0</v>
      </c>
      <c r="E15">
        <v>0</v>
      </c>
      <c r="F15" t="s">
        <v>17</v>
      </c>
      <c r="G15" t="s">
        <v>36</v>
      </c>
      <c r="H15" t="s">
        <v>38</v>
      </c>
      <c r="I15">
        <v>89863355.109999999</v>
      </c>
      <c r="J15" t="s">
        <v>38</v>
      </c>
      <c r="K15">
        <v>11217668.25</v>
      </c>
      <c r="L15" t="s">
        <v>27</v>
      </c>
      <c r="M15" t="str">
        <f t="shared" si="0"/>
        <v>controlfree-ranging domestic</v>
      </c>
      <c r="N15" t="s">
        <v>28</v>
      </c>
      <c r="O15" t="s">
        <v>29</v>
      </c>
      <c r="P15" t="s">
        <v>30</v>
      </c>
      <c r="Q15" t="s">
        <v>16</v>
      </c>
    </row>
    <row r="16" spans="1:17" x14ac:dyDescent="0.2">
      <c r="A16" t="s">
        <v>40</v>
      </c>
      <c r="B16">
        <v>0.25321224199999998</v>
      </c>
      <c r="C16">
        <v>99.937079460000007</v>
      </c>
      <c r="D16">
        <v>9.2534332829999997</v>
      </c>
      <c r="E16">
        <v>1850.686657</v>
      </c>
      <c r="F16" t="s">
        <v>19</v>
      </c>
      <c r="G16" t="s">
        <v>41</v>
      </c>
      <c r="H16" t="s">
        <v>16</v>
      </c>
      <c r="I16" t="s">
        <v>16</v>
      </c>
      <c r="J16" t="s">
        <v>16</v>
      </c>
      <c r="K16" t="s">
        <v>16</v>
      </c>
      <c r="L16" t="s">
        <v>27</v>
      </c>
      <c r="M16" t="str">
        <f t="shared" si="0"/>
        <v>challengedfree-ranging domestic</v>
      </c>
      <c r="N16" t="s">
        <v>28</v>
      </c>
      <c r="O16" t="s">
        <v>29</v>
      </c>
      <c r="P16" t="s">
        <v>30</v>
      </c>
      <c r="Q16">
        <v>9.2534332829999997</v>
      </c>
    </row>
    <row r="17" spans="1:17" x14ac:dyDescent="0.2">
      <c r="A17" t="s">
        <v>918</v>
      </c>
      <c r="B17">
        <v>6.0762418999999998E-2</v>
      </c>
      <c r="C17">
        <v>1102461694</v>
      </c>
      <c r="D17">
        <v>66147701.670000002</v>
      </c>
      <c r="E17">
        <v>13229540333</v>
      </c>
      <c r="F17" t="s">
        <v>33</v>
      </c>
      <c r="G17" t="s">
        <v>41</v>
      </c>
      <c r="H17" t="s">
        <v>16</v>
      </c>
      <c r="I17" t="s">
        <v>16</v>
      </c>
      <c r="J17" t="s">
        <v>16</v>
      </c>
      <c r="K17" t="s">
        <v>16</v>
      </c>
      <c r="L17" t="s">
        <v>27</v>
      </c>
      <c r="M17" t="str">
        <f t="shared" si="0"/>
        <v>challengedfree-ranging domestic</v>
      </c>
      <c r="N17" t="s">
        <v>28</v>
      </c>
      <c r="O17" t="s">
        <v>29</v>
      </c>
      <c r="P17" t="s">
        <v>30</v>
      </c>
      <c r="Q17">
        <v>65698384.890000001</v>
      </c>
    </row>
    <row r="18" spans="1:17" x14ac:dyDescent="0.2">
      <c r="A18" t="s">
        <v>42</v>
      </c>
      <c r="B18" t="s">
        <v>16</v>
      </c>
      <c r="C18">
        <v>7488612.926</v>
      </c>
      <c r="D18">
        <v>449316.77549999999</v>
      </c>
      <c r="E18">
        <v>89863355.109999999</v>
      </c>
      <c r="F18" t="s">
        <v>17</v>
      </c>
      <c r="G18" t="s">
        <v>41</v>
      </c>
      <c r="H18" t="s">
        <v>16</v>
      </c>
      <c r="I18" t="s">
        <v>16</v>
      </c>
      <c r="J18" t="s">
        <v>16</v>
      </c>
      <c r="K18" t="s">
        <v>16</v>
      </c>
      <c r="L18" t="s">
        <v>27</v>
      </c>
      <c r="M18" t="str">
        <f t="shared" si="0"/>
        <v>challengedfree-ranging domestic</v>
      </c>
      <c r="N18" t="s">
        <v>28</v>
      </c>
      <c r="O18" t="s">
        <v>29</v>
      </c>
      <c r="P18" t="s">
        <v>30</v>
      </c>
      <c r="Q18">
        <v>449316.77549999999</v>
      </c>
    </row>
    <row r="19" spans="1:17" x14ac:dyDescent="0.2">
      <c r="A19" t="s">
        <v>43</v>
      </c>
      <c r="B19" t="s">
        <v>16</v>
      </c>
      <c r="C19" t="s">
        <v>16</v>
      </c>
      <c r="D19" t="s">
        <v>16</v>
      </c>
      <c r="E19" t="s">
        <v>16</v>
      </c>
      <c r="F19" t="s">
        <v>26</v>
      </c>
      <c r="G19" t="s">
        <v>26</v>
      </c>
      <c r="H19" t="s">
        <v>16</v>
      </c>
      <c r="I19" t="s">
        <v>16</v>
      </c>
      <c r="J19" t="s">
        <v>16</v>
      </c>
      <c r="K19" t="s">
        <v>16</v>
      </c>
      <c r="L19" t="s">
        <v>27</v>
      </c>
      <c r="M19" t="str">
        <f t="shared" si="0"/>
        <v>fecalfree-ranging domestic</v>
      </c>
      <c r="N19" t="s">
        <v>28</v>
      </c>
      <c r="O19" t="s">
        <v>29</v>
      </c>
      <c r="P19" t="s">
        <v>44</v>
      </c>
      <c r="Q19" t="s">
        <v>16</v>
      </c>
    </row>
    <row r="20" spans="1:17" x14ac:dyDescent="0.2">
      <c r="A20" t="s">
        <v>45</v>
      </c>
      <c r="B20">
        <v>0.17886665099999999</v>
      </c>
      <c r="C20" t="s">
        <v>16</v>
      </c>
      <c r="D20">
        <v>0</v>
      </c>
      <c r="E20">
        <v>0</v>
      </c>
      <c r="F20" t="s">
        <v>19</v>
      </c>
      <c r="G20" t="s">
        <v>32</v>
      </c>
      <c r="H20" t="s">
        <v>16</v>
      </c>
      <c r="I20" t="s">
        <v>16</v>
      </c>
      <c r="J20" t="s">
        <v>16</v>
      </c>
      <c r="K20" t="s">
        <v>16</v>
      </c>
      <c r="L20" t="s">
        <v>27</v>
      </c>
      <c r="M20" t="str">
        <f t="shared" si="0"/>
        <v>abx_challengedfree-ranging domestic</v>
      </c>
      <c r="N20" t="s">
        <v>28</v>
      </c>
      <c r="O20" t="s">
        <v>29</v>
      </c>
      <c r="P20" t="s">
        <v>44</v>
      </c>
      <c r="Q20">
        <v>0</v>
      </c>
    </row>
    <row r="21" spans="1:17" x14ac:dyDescent="0.2">
      <c r="A21" t="s">
        <v>919</v>
      </c>
      <c r="B21">
        <v>2.7937376999999999E-2</v>
      </c>
      <c r="C21">
        <v>115600350.5</v>
      </c>
      <c r="D21">
        <v>231200.70110000001</v>
      </c>
      <c r="E21">
        <v>46240140.210000001</v>
      </c>
      <c r="F21" t="s">
        <v>33</v>
      </c>
      <c r="G21" t="s">
        <v>32</v>
      </c>
      <c r="H21" t="s">
        <v>16</v>
      </c>
      <c r="I21" t="s">
        <v>16</v>
      </c>
      <c r="J21" t="s">
        <v>16</v>
      </c>
      <c r="K21" t="s">
        <v>16</v>
      </c>
      <c r="L21" t="s">
        <v>27</v>
      </c>
      <c r="M21" t="str">
        <f t="shared" si="0"/>
        <v>abx_challengedfree-ranging domestic</v>
      </c>
      <c r="N21" t="s">
        <v>28</v>
      </c>
      <c r="O21" t="s">
        <v>29</v>
      </c>
      <c r="P21" t="s">
        <v>44</v>
      </c>
      <c r="Q21">
        <v>231200.70110000001</v>
      </c>
    </row>
    <row r="22" spans="1:17" x14ac:dyDescent="0.2">
      <c r="A22" t="s">
        <v>46</v>
      </c>
      <c r="B22">
        <v>0.23238863100000001</v>
      </c>
      <c r="C22">
        <v>4146818.4309999999</v>
      </c>
      <c r="D22">
        <v>24880.91059</v>
      </c>
      <c r="E22">
        <v>4976182.1179999998</v>
      </c>
      <c r="F22" t="s">
        <v>17</v>
      </c>
      <c r="G22" t="s">
        <v>32</v>
      </c>
      <c r="H22" t="s">
        <v>16</v>
      </c>
      <c r="I22" t="s">
        <v>16</v>
      </c>
      <c r="J22" t="s">
        <v>16</v>
      </c>
      <c r="K22" t="s">
        <v>16</v>
      </c>
      <c r="L22" t="s">
        <v>27</v>
      </c>
      <c r="M22" t="str">
        <f t="shared" si="0"/>
        <v>abx_challengedfree-ranging domestic</v>
      </c>
      <c r="N22" t="s">
        <v>28</v>
      </c>
      <c r="O22" t="s">
        <v>29</v>
      </c>
      <c r="P22" t="s">
        <v>44</v>
      </c>
      <c r="Q22">
        <v>24880.91059</v>
      </c>
    </row>
    <row r="23" spans="1:17" x14ac:dyDescent="0.2">
      <c r="A23" t="s">
        <v>47</v>
      </c>
      <c r="B23">
        <v>0</v>
      </c>
      <c r="C23" t="s">
        <v>16</v>
      </c>
      <c r="D23">
        <v>0</v>
      </c>
      <c r="E23">
        <v>0</v>
      </c>
      <c r="F23" t="s">
        <v>19</v>
      </c>
      <c r="G23" t="s">
        <v>36</v>
      </c>
      <c r="H23" t="s">
        <v>37</v>
      </c>
      <c r="I23">
        <v>0</v>
      </c>
      <c r="J23" t="s">
        <v>37</v>
      </c>
      <c r="K23">
        <v>0</v>
      </c>
      <c r="L23" t="s">
        <v>27</v>
      </c>
      <c r="M23" t="str">
        <f t="shared" si="0"/>
        <v>controlfree-ranging domestic</v>
      </c>
      <c r="N23" t="s">
        <v>28</v>
      </c>
      <c r="O23" t="s">
        <v>29</v>
      </c>
      <c r="P23" t="s">
        <v>44</v>
      </c>
      <c r="Q23" t="s">
        <v>16</v>
      </c>
    </row>
    <row r="24" spans="1:17" x14ac:dyDescent="0.2">
      <c r="A24" t="s">
        <v>920</v>
      </c>
      <c r="B24">
        <v>0</v>
      </c>
      <c r="C24">
        <v>699055228.5</v>
      </c>
      <c r="D24">
        <v>4194331.3710000003</v>
      </c>
      <c r="E24">
        <v>838866274.20000005</v>
      </c>
      <c r="F24" t="s">
        <v>33</v>
      </c>
      <c r="G24" t="s">
        <v>36</v>
      </c>
      <c r="H24" t="s">
        <v>38</v>
      </c>
      <c r="I24">
        <v>20504275964</v>
      </c>
      <c r="J24" t="s">
        <v>38</v>
      </c>
      <c r="K24">
        <v>46240140.210000001</v>
      </c>
      <c r="L24" t="s">
        <v>27</v>
      </c>
      <c r="M24" t="str">
        <f t="shared" si="0"/>
        <v>controlfree-ranging domestic</v>
      </c>
      <c r="N24" t="s">
        <v>28</v>
      </c>
      <c r="O24" t="s">
        <v>29</v>
      </c>
      <c r="P24" t="s">
        <v>44</v>
      </c>
      <c r="Q24" t="s">
        <v>16</v>
      </c>
    </row>
    <row r="25" spans="1:17" x14ac:dyDescent="0.2">
      <c r="A25" t="s">
        <v>48</v>
      </c>
      <c r="B25">
        <v>0</v>
      </c>
      <c r="C25">
        <v>1924.6840500000001</v>
      </c>
      <c r="D25">
        <v>0</v>
      </c>
      <c r="E25">
        <v>0</v>
      </c>
      <c r="F25" t="s">
        <v>17</v>
      </c>
      <c r="G25" t="s">
        <v>36</v>
      </c>
      <c r="H25" t="s">
        <v>38</v>
      </c>
      <c r="I25">
        <v>128306987</v>
      </c>
      <c r="J25" t="s">
        <v>38</v>
      </c>
      <c r="K25">
        <v>4976182.1179999998</v>
      </c>
      <c r="L25" t="s">
        <v>27</v>
      </c>
      <c r="M25" t="str">
        <f t="shared" si="0"/>
        <v>controlfree-ranging domestic</v>
      </c>
      <c r="N25" t="s">
        <v>28</v>
      </c>
      <c r="O25" t="s">
        <v>29</v>
      </c>
      <c r="P25" t="s">
        <v>44</v>
      </c>
      <c r="Q25" t="s">
        <v>16</v>
      </c>
    </row>
    <row r="26" spans="1:17" x14ac:dyDescent="0.2">
      <c r="A26" t="s">
        <v>49</v>
      </c>
      <c r="B26">
        <v>8.9058653000000002E-2</v>
      </c>
      <c r="C26">
        <v>21.610135419999999</v>
      </c>
      <c r="D26">
        <v>0</v>
      </c>
      <c r="E26">
        <v>0</v>
      </c>
      <c r="F26" t="s">
        <v>19</v>
      </c>
      <c r="G26" t="s">
        <v>41</v>
      </c>
      <c r="H26" t="s">
        <v>16</v>
      </c>
      <c r="I26" t="s">
        <v>16</v>
      </c>
      <c r="J26" t="s">
        <v>16</v>
      </c>
      <c r="K26" t="s">
        <v>16</v>
      </c>
      <c r="L26" t="s">
        <v>27</v>
      </c>
      <c r="M26" t="str">
        <f t="shared" si="0"/>
        <v>challengedfree-ranging domestic</v>
      </c>
      <c r="N26" t="s">
        <v>28</v>
      </c>
      <c r="O26" t="s">
        <v>29</v>
      </c>
      <c r="P26" t="s">
        <v>44</v>
      </c>
      <c r="Q26">
        <v>0</v>
      </c>
    </row>
    <row r="27" spans="1:17" x14ac:dyDescent="0.2">
      <c r="A27" t="s">
        <v>921</v>
      </c>
      <c r="B27">
        <v>6.7636619999999995E-2</v>
      </c>
      <c r="C27">
        <v>1708689664</v>
      </c>
      <c r="D27">
        <v>102521379.8</v>
      </c>
      <c r="E27">
        <v>20504275964</v>
      </c>
      <c r="F27" t="s">
        <v>33</v>
      </c>
      <c r="G27" t="s">
        <v>41</v>
      </c>
      <c r="H27" t="s">
        <v>16</v>
      </c>
      <c r="I27" t="s">
        <v>16</v>
      </c>
      <c r="J27" t="s">
        <v>16</v>
      </c>
      <c r="K27" t="s">
        <v>16</v>
      </c>
      <c r="L27" t="s">
        <v>27</v>
      </c>
      <c r="M27" t="str">
        <f t="shared" si="0"/>
        <v>challengedfree-ranging domestic</v>
      </c>
      <c r="N27" t="s">
        <v>28</v>
      </c>
      <c r="O27" t="s">
        <v>29</v>
      </c>
      <c r="P27" t="s">
        <v>44</v>
      </c>
      <c r="Q27">
        <v>101879844.90000001</v>
      </c>
    </row>
    <row r="28" spans="1:17" x14ac:dyDescent="0.2">
      <c r="A28" t="s">
        <v>50</v>
      </c>
      <c r="B28">
        <v>0.11832635800000001</v>
      </c>
      <c r="C28">
        <v>10692248.92</v>
      </c>
      <c r="D28">
        <v>641534.9351</v>
      </c>
      <c r="E28">
        <v>128306987</v>
      </c>
      <c r="F28" t="s">
        <v>17</v>
      </c>
      <c r="G28" t="s">
        <v>41</v>
      </c>
      <c r="H28" t="s">
        <v>16</v>
      </c>
      <c r="I28" t="s">
        <v>16</v>
      </c>
      <c r="J28" t="s">
        <v>16</v>
      </c>
      <c r="K28" t="s">
        <v>16</v>
      </c>
      <c r="L28" t="s">
        <v>27</v>
      </c>
      <c r="M28" t="str">
        <f t="shared" si="0"/>
        <v>challengedfree-ranging domestic</v>
      </c>
      <c r="N28" t="s">
        <v>28</v>
      </c>
      <c r="O28" t="s">
        <v>29</v>
      </c>
      <c r="P28" t="s">
        <v>44</v>
      </c>
      <c r="Q28">
        <v>641534.9351</v>
      </c>
    </row>
    <row r="29" spans="1:17" x14ac:dyDescent="0.2">
      <c r="A29" t="s">
        <v>51</v>
      </c>
      <c r="B29">
        <v>0.157178809</v>
      </c>
      <c r="C29">
        <v>4.0283196529999996</v>
      </c>
      <c r="D29">
        <v>0</v>
      </c>
      <c r="E29">
        <v>0</v>
      </c>
      <c r="F29" t="s">
        <v>19</v>
      </c>
      <c r="G29" t="s">
        <v>32</v>
      </c>
      <c r="H29" t="s">
        <v>16</v>
      </c>
      <c r="I29" t="s">
        <v>16</v>
      </c>
      <c r="J29" t="s">
        <v>16</v>
      </c>
      <c r="K29" t="s">
        <v>16</v>
      </c>
      <c r="L29" t="s">
        <v>27</v>
      </c>
      <c r="M29" t="str">
        <f t="shared" si="0"/>
        <v>abx_challengedfree-ranging domestic</v>
      </c>
      <c r="N29" t="s">
        <v>28</v>
      </c>
      <c r="O29" t="s">
        <v>29</v>
      </c>
      <c r="P29" t="s">
        <v>52</v>
      </c>
      <c r="Q29">
        <v>0</v>
      </c>
    </row>
    <row r="30" spans="1:17" x14ac:dyDescent="0.2">
      <c r="A30" t="s">
        <v>922</v>
      </c>
      <c r="B30">
        <v>5.6278794E-2</v>
      </c>
      <c r="C30">
        <v>74404302.159999996</v>
      </c>
      <c r="D30">
        <v>148808.60430000001</v>
      </c>
      <c r="E30">
        <v>29761720.859999999</v>
      </c>
      <c r="F30" t="s">
        <v>33</v>
      </c>
      <c r="G30" t="s">
        <v>32</v>
      </c>
      <c r="H30" t="s">
        <v>16</v>
      </c>
      <c r="I30" t="s">
        <v>16</v>
      </c>
      <c r="J30" t="s">
        <v>16</v>
      </c>
      <c r="K30" t="s">
        <v>16</v>
      </c>
      <c r="L30" t="s">
        <v>27</v>
      </c>
      <c r="M30" t="str">
        <f t="shared" si="0"/>
        <v>abx_challengedfree-ranging domestic</v>
      </c>
      <c r="N30" t="s">
        <v>28</v>
      </c>
      <c r="O30" t="s">
        <v>29</v>
      </c>
      <c r="P30" t="s">
        <v>52</v>
      </c>
      <c r="Q30">
        <v>148808.60430000001</v>
      </c>
    </row>
    <row r="31" spans="1:17" x14ac:dyDescent="0.2">
      <c r="A31" t="s">
        <v>53</v>
      </c>
      <c r="B31">
        <v>0.27552163699999999</v>
      </c>
      <c r="C31">
        <v>11871838.51</v>
      </c>
      <c r="D31">
        <v>71231.031069999997</v>
      </c>
      <c r="E31">
        <v>14246206.210000001</v>
      </c>
      <c r="F31" t="s">
        <v>17</v>
      </c>
      <c r="G31" t="s">
        <v>32</v>
      </c>
      <c r="H31" t="s">
        <v>16</v>
      </c>
      <c r="I31" t="s">
        <v>16</v>
      </c>
      <c r="J31" t="s">
        <v>16</v>
      </c>
      <c r="K31" t="s">
        <v>16</v>
      </c>
      <c r="L31" t="s">
        <v>27</v>
      </c>
      <c r="M31" t="str">
        <f t="shared" si="0"/>
        <v>abx_challengedfree-ranging domestic</v>
      </c>
      <c r="N31" t="s">
        <v>28</v>
      </c>
      <c r="O31" t="s">
        <v>29</v>
      </c>
      <c r="P31" t="s">
        <v>52</v>
      </c>
      <c r="Q31">
        <v>71231.031069999997</v>
      </c>
    </row>
    <row r="32" spans="1:17" x14ac:dyDescent="0.2">
      <c r="A32" t="s">
        <v>54</v>
      </c>
      <c r="B32">
        <v>0</v>
      </c>
      <c r="C32" t="s">
        <v>16</v>
      </c>
      <c r="D32">
        <v>0</v>
      </c>
      <c r="E32">
        <v>0</v>
      </c>
      <c r="F32" t="s">
        <v>19</v>
      </c>
      <c r="G32" t="s">
        <v>36</v>
      </c>
      <c r="H32" t="s">
        <v>37</v>
      </c>
      <c r="I32">
        <v>0</v>
      </c>
      <c r="J32" t="s">
        <v>37</v>
      </c>
      <c r="K32">
        <v>0</v>
      </c>
      <c r="L32" t="s">
        <v>27</v>
      </c>
      <c r="M32" t="str">
        <f t="shared" si="0"/>
        <v>controlfree-ranging domestic</v>
      </c>
      <c r="N32" t="s">
        <v>28</v>
      </c>
      <c r="O32" t="s">
        <v>29</v>
      </c>
      <c r="P32" t="s">
        <v>52</v>
      </c>
      <c r="Q32" t="s">
        <v>16</v>
      </c>
    </row>
    <row r="33" spans="1:17" x14ac:dyDescent="0.2">
      <c r="A33" t="s">
        <v>923</v>
      </c>
      <c r="B33">
        <v>0</v>
      </c>
      <c r="C33">
        <v>222137030.5</v>
      </c>
      <c r="D33">
        <v>1332822.183</v>
      </c>
      <c r="E33">
        <v>266564436.59999999</v>
      </c>
      <c r="F33" t="s">
        <v>33</v>
      </c>
      <c r="G33" t="s">
        <v>36</v>
      </c>
      <c r="H33" t="s">
        <v>38</v>
      </c>
      <c r="I33">
        <v>39128771233</v>
      </c>
      <c r="J33" t="s">
        <v>38</v>
      </c>
      <c r="K33">
        <v>29761720.859999999</v>
      </c>
      <c r="L33" t="s">
        <v>27</v>
      </c>
      <c r="M33" t="str">
        <f t="shared" si="0"/>
        <v>controlfree-ranging domestic</v>
      </c>
      <c r="N33" t="s">
        <v>28</v>
      </c>
      <c r="O33" t="s">
        <v>29</v>
      </c>
      <c r="P33" t="s">
        <v>52</v>
      </c>
      <c r="Q33" t="s">
        <v>16</v>
      </c>
    </row>
    <row r="34" spans="1:17" x14ac:dyDescent="0.2">
      <c r="A34" t="s">
        <v>55</v>
      </c>
      <c r="B34">
        <v>0</v>
      </c>
      <c r="C34" t="s">
        <v>16</v>
      </c>
      <c r="D34">
        <v>0</v>
      </c>
      <c r="E34">
        <v>0</v>
      </c>
      <c r="F34" t="s">
        <v>17</v>
      </c>
      <c r="G34" t="s">
        <v>36</v>
      </c>
      <c r="H34" t="s">
        <v>38</v>
      </c>
      <c r="I34">
        <v>69127943.549999997</v>
      </c>
      <c r="J34" t="s">
        <v>38</v>
      </c>
      <c r="K34">
        <v>14246206.210000001</v>
      </c>
      <c r="L34" t="s">
        <v>27</v>
      </c>
      <c r="M34" t="str">
        <f t="shared" si="0"/>
        <v>controlfree-ranging domestic</v>
      </c>
      <c r="N34" t="s">
        <v>28</v>
      </c>
      <c r="O34" t="s">
        <v>29</v>
      </c>
      <c r="P34" t="s">
        <v>52</v>
      </c>
      <c r="Q34" t="s">
        <v>16</v>
      </c>
    </row>
    <row r="35" spans="1:17" x14ac:dyDescent="0.2">
      <c r="A35" t="s">
        <v>56</v>
      </c>
      <c r="B35">
        <v>0.113828154</v>
      </c>
      <c r="C35" t="s">
        <v>16</v>
      </c>
      <c r="D35">
        <v>0</v>
      </c>
      <c r="E35">
        <v>0</v>
      </c>
      <c r="F35" t="s">
        <v>19</v>
      </c>
      <c r="G35" t="s">
        <v>41</v>
      </c>
      <c r="H35" t="s">
        <v>16</v>
      </c>
      <c r="I35" t="s">
        <v>16</v>
      </c>
      <c r="J35" t="s">
        <v>16</v>
      </c>
      <c r="K35" t="s">
        <v>16</v>
      </c>
      <c r="L35" t="s">
        <v>27</v>
      </c>
      <c r="M35" t="str">
        <f t="shared" si="0"/>
        <v>challengedfree-ranging domestic</v>
      </c>
      <c r="N35" t="s">
        <v>28</v>
      </c>
      <c r="O35" t="s">
        <v>29</v>
      </c>
      <c r="P35" t="s">
        <v>52</v>
      </c>
      <c r="Q35">
        <v>0</v>
      </c>
    </row>
    <row r="36" spans="1:17" x14ac:dyDescent="0.2">
      <c r="A36" t="s">
        <v>924</v>
      </c>
      <c r="B36">
        <v>3.4360259999999997E-2</v>
      </c>
      <c r="C36">
        <v>3260730936</v>
      </c>
      <c r="D36">
        <v>195643856.19999999</v>
      </c>
      <c r="E36">
        <v>39128771233</v>
      </c>
      <c r="F36" t="s">
        <v>33</v>
      </c>
      <c r="G36" t="s">
        <v>41</v>
      </c>
      <c r="H36" t="s">
        <v>16</v>
      </c>
      <c r="I36" t="s">
        <v>16</v>
      </c>
      <c r="J36" t="s">
        <v>16</v>
      </c>
      <c r="K36" t="s">
        <v>16</v>
      </c>
      <c r="L36" t="s">
        <v>27</v>
      </c>
      <c r="M36" t="str">
        <f t="shared" si="0"/>
        <v>challengedfree-ranging domestic</v>
      </c>
      <c r="N36" t="s">
        <v>28</v>
      </c>
      <c r="O36" t="s">
        <v>29</v>
      </c>
      <c r="P36" t="s">
        <v>52</v>
      </c>
      <c r="Q36">
        <v>195298216.40000001</v>
      </c>
    </row>
    <row r="37" spans="1:17" x14ac:dyDescent="0.2">
      <c r="A37" t="s">
        <v>57</v>
      </c>
      <c r="B37">
        <v>0.13692073699999999</v>
      </c>
      <c r="C37">
        <v>5760661.9620000003</v>
      </c>
      <c r="D37">
        <v>345639.71769999998</v>
      </c>
      <c r="E37">
        <v>69127943.549999997</v>
      </c>
      <c r="F37" t="s">
        <v>17</v>
      </c>
      <c r="G37" t="s">
        <v>41</v>
      </c>
      <c r="H37" t="s">
        <v>16</v>
      </c>
      <c r="I37" t="s">
        <v>16</v>
      </c>
      <c r="J37" t="s">
        <v>16</v>
      </c>
      <c r="K37" t="s">
        <v>16</v>
      </c>
      <c r="L37" t="s">
        <v>27</v>
      </c>
      <c r="M37" t="str">
        <f t="shared" si="0"/>
        <v>challengedfree-ranging domestic</v>
      </c>
      <c r="N37" t="s">
        <v>28</v>
      </c>
      <c r="O37" t="s">
        <v>29</v>
      </c>
      <c r="P37" t="s">
        <v>52</v>
      </c>
      <c r="Q37">
        <v>345639.71769999998</v>
      </c>
    </row>
    <row r="38" spans="1:17" x14ac:dyDescent="0.2">
      <c r="A38" t="s">
        <v>58</v>
      </c>
      <c r="B38" t="s">
        <v>16</v>
      </c>
      <c r="C38" t="s">
        <v>16</v>
      </c>
      <c r="D38" t="s">
        <v>16</v>
      </c>
      <c r="E38" t="s">
        <v>16</v>
      </c>
      <c r="F38" t="s">
        <v>26</v>
      </c>
      <c r="G38" t="s">
        <v>26</v>
      </c>
      <c r="H38" t="s">
        <v>16</v>
      </c>
      <c r="I38" t="s">
        <v>16</v>
      </c>
      <c r="J38" t="s">
        <v>16</v>
      </c>
      <c r="K38" t="s">
        <v>16</v>
      </c>
      <c r="L38" t="s">
        <v>27</v>
      </c>
      <c r="M38" t="str">
        <f t="shared" si="0"/>
        <v>fecalfree-ranging domestic</v>
      </c>
      <c r="N38" t="s">
        <v>28</v>
      </c>
      <c r="O38" t="s">
        <v>29</v>
      </c>
      <c r="P38" t="s">
        <v>59</v>
      </c>
      <c r="Q38" t="s">
        <v>16</v>
      </c>
    </row>
    <row r="39" spans="1:17" x14ac:dyDescent="0.2">
      <c r="A39" t="s">
        <v>60</v>
      </c>
      <c r="B39">
        <v>0.12590084200000001</v>
      </c>
      <c r="C39">
        <v>208.7120597</v>
      </c>
      <c r="D39">
        <v>19.325190710000001</v>
      </c>
      <c r="E39">
        <v>3865.0381430000002</v>
      </c>
      <c r="F39" t="s">
        <v>19</v>
      </c>
      <c r="G39" t="s">
        <v>32</v>
      </c>
      <c r="H39" t="s">
        <v>16</v>
      </c>
      <c r="I39" t="s">
        <v>16</v>
      </c>
      <c r="J39" t="s">
        <v>16</v>
      </c>
      <c r="K39" t="s">
        <v>16</v>
      </c>
      <c r="L39" t="s">
        <v>27</v>
      </c>
      <c r="M39" t="str">
        <f t="shared" si="0"/>
        <v>abx_challengedfree-ranging domestic</v>
      </c>
      <c r="N39" t="s">
        <v>28</v>
      </c>
      <c r="O39" t="s">
        <v>29</v>
      </c>
      <c r="P39" t="s">
        <v>59</v>
      </c>
      <c r="Q39">
        <v>-113555.7255</v>
      </c>
    </row>
    <row r="40" spans="1:17" x14ac:dyDescent="0.2">
      <c r="A40" t="s">
        <v>925</v>
      </c>
      <c r="B40">
        <v>0.110055504</v>
      </c>
      <c r="C40">
        <v>56787525.329999998</v>
      </c>
      <c r="D40">
        <v>113575.05070000001</v>
      </c>
      <c r="E40">
        <v>22715010.129999999</v>
      </c>
      <c r="F40" t="s">
        <v>33</v>
      </c>
      <c r="G40" t="s">
        <v>32</v>
      </c>
      <c r="H40" t="s">
        <v>16</v>
      </c>
      <c r="I40" t="s">
        <v>16</v>
      </c>
      <c r="J40" t="s">
        <v>16</v>
      </c>
      <c r="K40" t="s">
        <v>16</v>
      </c>
      <c r="L40" t="s">
        <v>27</v>
      </c>
      <c r="M40" t="str">
        <f t="shared" si="0"/>
        <v>abx_challengedfree-ranging domestic</v>
      </c>
      <c r="N40" t="s">
        <v>28</v>
      </c>
      <c r="O40" t="s">
        <v>29</v>
      </c>
      <c r="P40" t="s">
        <v>59</v>
      </c>
      <c r="Q40">
        <v>113565.88589999999</v>
      </c>
    </row>
    <row r="41" spans="1:17" x14ac:dyDescent="0.2">
      <c r="A41" t="s">
        <v>61</v>
      </c>
      <c r="B41">
        <v>0.21594039900000001</v>
      </c>
      <c r="C41">
        <v>1084300.5330000001</v>
      </c>
      <c r="D41">
        <v>6505.8031970000002</v>
      </c>
      <c r="E41">
        <v>1301160.639</v>
      </c>
      <c r="F41" t="s">
        <v>17</v>
      </c>
      <c r="G41" t="s">
        <v>32</v>
      </c>
      <c r="H41" t="s">
        <v>16</v>
      </c>
      <c r="I41" t="s">
        <v>16</v>
      </c>
      <c r="J41" t="s">
        <v>16</v>
      </c>
      <c r="K41" t="s">
        <v>16</v>
      </c>
      <c r="L41" t="s">
        <v>27</v>
      </c>
      <c r="M41" t="str">
        <f t="shared" si="0"/>
        <v>abx_challengedfree-ranging domestic</v>
      </c>
      <c r="N41" t="s">
        <v>28</v>
      </c>
      <c r="O41" t="s">
        <v>29</v>
      </c>
      <c r="P41" t="s">
        <v>59</v>
      </c>
      <c r="Q41">
        <v>6505.8031970000002</v>
      </c>
    </row>
    <row r="42" spans="1:17" x14ac:dyDescent="0.2">
      <c r="A42" t="s">
        <v>62</v>
      </c>
      <c r="B42">
        <v>0</v>
      </c>
      <c r="C42">
        <v>98.979128770000003</v>
      </c>
      <c r="D42">
        <v>9.1647341450000006</v>
      </c>
      <c r="E42">
        <v>1832.946829</v>
      </c>
      <c r="F42" t="s">
        <v>19</v>
      </c>
      <c r="G42" t="s">
        <v>36</v>
      </c>
      <c r="H42" t="s">
        <v>37</v>
      </c>
      <c r="I42">
        <v>0</v>
      </c>
      <c r="J42" t="s">
        <v>37</v>
      </c>
      <c r="K42">
        <v>3865.0381430000002</v>
      </c>
      <c r="L42" t="s">
        <v>27</v>
      </c>
      <c r="M42" t="str">
        <f t="shared" si="0"/>
        <v>controlfree-ranging domestic</v>
      </c>
      <c r="N42" t="s">
        <v>28</v>
      </c>
      <c r="O42" t="s">
        <v>29</v>
      </c>
      <c r="P42" t="s">
        <v>59</v>
      </c>
      <c r="Q42" t="s">
        <v>16</v>
      </c>
    </row>
    <row r="43" spans="1:17" x14ac:dyDescent="0.2">
      <c r="A43" t="s">
        <v>926</v>
      </c>
      <c r="B43">
        <v>0</v>
      </c>
      <c r="C43">
        <v>539582914.39999998</v>
      </c>
      <c r="D43">
        <v>3237497.486</v>
      </c>
      <c r="E43">
        <v>647499497.29999995</v>
      </c>
      <c r="F43" t="s">
        <v>33</v>
      </c>
      <c r="G43" t="s">
        <v>36</v>
      </c>
      <c r="H43" t="s">
        <v>38</v>
      </c>
      <c r="I43">
        <v>22663655683</v>
      </c>
      <c r="J43" t="s">
        <v>38</v>
      </c>
      <c r="K43">
        <v>22715010.129999999</v>
      </c>
      <c r="L43" t="s">
        <v>27</v>
      </c>
      <c r="M43" t="str">
        <f t="shared" si="0"/>
        <v>controlfree-ranging domestic</v>
      </c>
      <c r="N43" t="s">
        <v>28</v>
      </c>
      <c r="O43" t="s">
        <v>29</v>
      </c>
      <c r="P43" t="s">
        <v>59</v>
      </c>
      <c r="Q43" t="s">
        <v>16</v>
      </c>
    </row>
    <row r="44" spans="1:17" x14ac:dyDescent="0.2">
      <c r="A44" t="s">
        <v>63</v>
      </c>
      <c r="B44">
        <v>0</v>
      </c>
      <c r="C44" t="s">
        <v>16</v>
      </c>
      <c r="D44">
        <v>0</v>
      </c>
      <c r="E44">
        <v>0</v>
      </c>
      <c r="F44" t="s">
        <v>17</v>
      </c>
      <c r="G44" t="s">
        <v>36</v>
      </c>
      <c r="H44" t="s">
        <v>38</v>
      </c>
      <c r="I44">
        <v>71344240.379999995</v>
      </c>
      <c r="J44" t="s">
        <v>38</v>
      </c>
      <c r="K44">
        <v>1301160.639</v>
      </c>
      <c r="L44" t="s">
        <v>27</v>
      </c>
      <c r="M44" t="str">
        <f t="shared" si="0"/>
        <v>controlfree-ranging domestic</v>
      </c>
      <c r="N44" t="s">
        <v>28</v>
      </c>
      <c r="O44" t="s">
        <v>29</v>
      </c>
      <c r="P44" t="s">
        <v>59</v>
      </c>
      <c r="Q44" t="s">
        <v>16</v>
      </c>
    </row>
    <row r="45" spans="1:17" x14ac:dyDescent="0.2">
      <c r="A45" t="s">
        <v>64</v>
      </c>
      <c r="B45">
        <v>8.9600744999999996E-2</v>
      </c>
      <c r="C45">
        <v>39.012083670939099</v>
      </c>
      <c r="D45">
        <v>3.6122299695313984</v>
      </c>
      <c r="E45">
        <f>D45*200</f>
        <v>722.44599390627968</v>
      </c>
      <c r="F45" t="s">
        <v>19</v>
      </c>
      <c r="G45" t="s">
        <v>32</v>
      </c>
      <c r="H45" t="s">
        <v>16</v>
      </c>
      <c r="I45" t="s">
        <v>16</v>
      </c>
      <c r="J45" t="s">
        <v>16</v>
      </c>
      <c r="K45" t="s">
        <v>16</v>
      </c>
      <c r="L45" t="s">
        <v>27</v>
      </c>
      <c r="M45" t="str">
        <f t="shared" si="0"/>
        <v>abx_challengedfree-ranging domestic</v>
      </c>
      <c r="N45" t="s">
        <v>28</v>
      </c>
      <c r="O45" t="s">
        <v>29</v>
      </c>
      <c r="P45" t="s">
        <v>65</v>
      </c>
      <c r="Q45">
        <f>E46-E45</f>
        <v>-604.39561642819581</v>
      </c>
    </row>
    <row r="46" spans="1:17" x14ac:dyDescent="0.2">
      <c r="A46" t="s">
        <v>66</v>
      </c>
      <c r="B46">
        <v>0</v>
      </c>
      <c r="C46">
        <v>6.3747203838165269</v>
      </c>
      <c r="D46">
        <v>0.59025188739041923</v>
      </c>
      <c r="E46">
        <f t="shared" ref="E46:E47" si="1">D46*200</f>
        <v>118.05037747808385</v>
      </c>
      <c r="F46" t="s">
        <v>19</v>
      </c>
      <c r="G46" t="s">
        <v>36</v>
      </c>
      <c r="H46" t="s">
        <v>37</v>
      </c>
      <c r="I46">
        <v>34.732080949999997</v>
      </c>
      <c r="J46" t="s">
        <v>37</v>
      </c>
      <c r="K46">
        <v>722.44599389999996</v>
      </c>
      <c r="L46" t="s">
        <v>27</v>
      </c>
      <c r="M46" t="str">
        <f t="shared" si="0"/>
        <v>controlfree-ranging domestic</v>
      </c>
      <c r="N46" t="s">
        <v>28</v>
      </c>
      <c r="O46" t="s">
        <v>29</v>
      </c>
      <c r="P46" t="s">
        <v>65</v>
      </c>
      <c r="Q46" t="s">
        <v>16</v>
      </c>
    </row>
    <row r="47" spans="1:17" x14ac:dyDescent="0.2">
      <c r="A47" t="s">
        <v>67</v>
      </c>
      <c r="B47">
        <v>0.14616620899999999</v>
      </c>
      <c r="C47">
        <v>1.8755323713294734</v>
      </c>
      <c r="D47">
        <v>0.17366040475272904</v>
      </c>
      <c r="E47">
        <f t="shared" si="1"/>
        <v>34.732080950545807</v>
      </c>
      <c r="F47" t="s">
        <v>19</v>
      </c>
      <c r="G47" t="s">
        <v>41</v>
      </c>
      <c r="H47" t="s">
        <v>16</v>
      </c>
      <c r="I47" t="s">
        <v>16</v>
      </c>
      <c r="J47" t="s">
        <v>16</v>
      </c>
      <c r="K47" t="s">
        <v>16</v>
      </c>
      <c r="L47" t="s">
        <v>27</v>
      </c>
      <c r="M47" t="str">
        <f t="shared" si="0"/>
        <v>challengedfree-ranging domestic</v>
      </c>
      <c r="N47" t="s">
        <v>28</v>
      </c>
      <c r="O47" t="s">
        <v>29</v>
      </c>
      <c r="P47" t="s">
        <v>65</v>
      </c>
      <c r="Q47">
        <f>E47-E46</f>
        <v>-83.318296527538038</v>
      </c>
    </row>
    <row r="48" spans="1:17" x14ac:dyDescent="0.2">
      <c r="A48" t="s">
        <v>68</v>
      </c>
      <c r="B48">
        <v>0.14616620899999999</v>
      </c>
      <c r="C48" t="s">
        <v>16</v>
      </c>
      <c r="D48">
        <v>0</v>
      </c>
      <c r="E48">
        <v>0</v>
      </c>
      <c r="F48" t="s">
        <v>19</v>
      </c>
      <c r="G48" t="s">
        <v>41</v>
      </c>
      <c r="H48" t="s">
        <v>16</v>
      </c>
      <c r="I48" t="s">
        <v>16</v>
      </c>
      <c r="J48" t="s">
        <v>16</v>
      </c>
      <c r="K48" t="s">
        <v>16</v>
      </c>
      <c r="L48" t="s">
        <v>27</v>
      </c>
      <c r="M48" t="str">
        <f t="shared" si="0"/>
        <v>challengedfree-ranging domestic</v>
      </c>
      <c r="N48" t="s">
        <v>28</v>
      </c>
      <c r="O48" t="s">
        <v>29</v>
      </c>
      <c r="P48" t="s">
        <v>59</v>
      </c>
      <c r="Q48">
        <v>-356721.20189999999</v>
      </c>
    </row>
    <row r="49" spans="1:17" x14ac:dyDescent="0.2">
      <c r="A49" t="s">
        <v>927</v>
      </c>
      <c r="B49">
        <v>3.9519288999999999E-2</v>
      </c>
      <c r="C49">
        <v>1888637974</v>
      </c>
      <c r="D49">
        <v>113318278.40000001</v>
      </c>
      <c r="E49">
        <v>22663655683</v>
      </c>
      <c r="F49" t="s">
        <v>33</v>
      </c>
      <c r="G49" t="s">
        <v>41</v>
      </c>
      <c r="H49" t="s">
        <v>16</v>
      </c>
      <c r="I49" t="s">
        <v>16</v>
      </c>
      <c r="J49" t="s">
        <v>16</v>
      </c>
      <c r="K49" t="s">
        <v>16</v>
      </c>
      <c r="L49" t="s">
        <v>27</v>
      </c>
      <c r="M49" t="str">
        <f t="shared" si="0"/>
        <v>challengedfree-ranging domestic</v>
      </c>
      <c r="N49" t="s">
        <v>28</v>
      </c>
      <c r="O49" t="s">
        <v>29</v>
      </c>
      <c r="P49" t="s">
        <v>59</v>
      </c>
      <c r="Q49">
        <v>112961557.2</v>
      </c>
    </row>
    <row r="50" spans="1:17" x14ac:dyDescent="0.2">
      <c r="A50" t="s">
        <v>69</v>
      </c>
      <c r="B50">
        <v>0.21000197300000001</v>
      </c>
      <c r="C50">
        <v>5945353.3650000002</v>
      </c>
      <c r="D50">
        <v>356721.20189999999</v>
      </c>
      <c r="E50">
        <v>71344240.379999995</v>
      </c>
      <c r="F50" t="s">
        <v>17</v>
      </c>
      <c r="G50" t="s">
        <v>41</v>
      </c>
      <c r="H50" t="s">
        <v>16</v>
      </c>
      <c r="I50" t="s">
        <v>16</v>
      </c>
      <c r="J50" t="s">
        <v>16</v>
      </c>
      <c r="K50" t="s">
        <v>16</v>
      </c>
      <c r="L50" t="s">
        <v>27</v>
      </c>
      <c r="M50" t="str">
        <f t="shared" si="0"/>
        <v>challengedfree-ranging domestic</v>
      </c>
      <c r="N50" t="s">
        <v>28</v>
      </c>
      <c r="O50" t="s">
        <v>29</v>
      </c>
      <c r="P50" t="s">
        <v>59</v>
      </c>
      <c r="Q50">
        <v>356721.20189999999</v>
      </c>
    </row>
    <row r="51" spans="1:17" x14ac:dyDescent="0.2">
      <c r="A51" t="s">
        <v>70</v>
      </c>
      <c r="B51" t="s">
        <v>16</v>
      </c>
      <c r="C51" t="s">
        <v>16</v>
      </c>
      <c r="D51" t="s">
        <v>16</v>
      </c>
      <c r="E51" t="s">
        <v>16</v>
      </c>
      <c r="F51" t="s">
        <v>26</v>
      </c>
      <c r="G51" t="s">
        <v>26</v>
      </c>
      <c r="H51" t="s">
        <v>16</v>
      </c>
      <c r="I51" t="s">
        <v>16</v>
      </c>
      <c r="J51" t="s">
        <v>16</v>
      </c>
      <c r="K51" t="s">
        <v>16</v>
      </c>
      <c r="L51" t="s">
        <v>27</v>
      </c>
      <c r="M51" t="str">
        <f t="shared" si="0"/>
        <v>fecalfree-ranging domestic</v>
      </c>
      <c r="N51" t="s">
        <v>28</v>
      </c>
      <c r="O51" t="s">
        <v>29</v>
      </c>
      <c r="P51" t="s">
        <v>71</v>
      </c>
      <c r="Q51" t="s">
        <v>16</v>
      </c>
    </row>
    <row r="52" spans="1:17" x14ac:dyDescent="0.2">
      <c r="A52" t="s">
        <v>72</v>
      </c>
      <c r="B52">
        <v>0.156789018</v>
      </c>
      <c r="C52">
        <v>9.9303906669999993</v>
      </c>
      <c r="D52">
        <v>0</v>
      </c>
      <c r="E52">
        <v>0</v>
      </c>
      <c r="F52" t="s">
        <v>19</v>
      </c>
      <c r="G52" t="s">
        <v>32</v>
      </c>
      <c r="H52" t="s">
        <v>16</v>
      </c>
      <c r="I52" t="s">
        <v>16</v>
      </c>
      <c r="J52" t="s">
        <v>16</v>
      </c>
      <c r="K52" t="s">
        <v>16</v>
      </c>
      <c r="L52" t="s">
        <v>27</v>
      </c>
      <c r="M52" t="str">
        <f t="shared" si="0"/>
        <v>abx_challengedfree-ranging domestic</v>
      </c>
      <c r="N52" t="s">
        <v>28</v>
      </c>
      <c r="O52" t="s">
        <v>29</v>
      </c>
      <c r="P52" t="s">
        <v>71</v>
      </c>
      <c r="Q52">
        <v>0</v>
      </c>
    </row>
    <row r="53" spans="1:17" x14ac:dyDescent="0.2">
      <c r="A53" t="s">
        <v>928</v>
      </c>
      <c r="B53">
        <v>0.12364702499999999</v>
      </c>
      <c r="C53">
        <v>15466338.02</v>
      </c>
      <c r="D53">
        <v>30932.676039999998</v>
      </c>
      <c r="E53">
        <v>6186535.2079999996</v>
      </c>
      <c r="F53" t="s">
        <v>33</v>
      </c>
      <c r="G53" t="s">
        <v>32</v>
      </c>
      <c r="H53" t="s">
        <v>16</v>
      </c>
      <c r="I53" t="s">
        <v>16</v>
      </c>
      <c r="J53" t="s">
        <v>16</v>
      </c>
      <c r="K53" t="s">
        <v>16</v>
      </c>
      <c r="L53" t="s">
        <v>27</v>
      </c>
      <c r="M53" t="str">
        <f t="shared" si="0"/>
        <v>abx_challengedfree-ranging domestic</v>
      </c>
      <c r="N53" t="s">
        <v>28</v>
      </c>
      <c r="O53" t="s">
        <v>29</v>
      </c>
      <c r="P53" t="s">
        <v>71</v>
      </c>
      <c r="Q53">
        <v>30932.676039999998</v>
      </c>
    </row>
    <row r="54" spans="1:17" x14ac:dyDescent="0.2">
      <c r="A54" t="s">
        <v>73</v>
      </c>
      <c r="B54">
        <v>0.24506177600000001</v>
      </c>
      <c r="C54">
        <v>4925303.5599999996</v>
      </c>
      <c r="D54">
        <v>29551.821360000002</v>
      </c>
      <c r="E54">
        <v>5910364.2719999999</v>
      </c>
      <c r="F54" t="s">
        <v>17</v>
      </c>
      <c r="G54" t="s">
        <v>32</v>
      </c>
      <c r="H54" t="s">
        <v>16</v>
      </c>
      <c r="I54" t="s">
        <v>16</v>
      </c>
      <c r="J54" t="s">
        <v>16</v>
      </c>
      <c r="K54" t="s">
        <v>16</v>
      </c>
      <c r="L54" t="s">
        <v>27</v>
      </c>
      <c r="M54" t="str">
        <f t="shared" si="0"/>
        <v>abx_challengedfree-ranging domestic</v>
      </c>
      <c r="N54" t="s">
        <v>28</v>
      </c>
      <c r="O54" t="s">
        <v>29</v>
      </c>
      <c r="P54" t="s">
        <v>71</v>
      </c>
      <c r="Q54">
        <v>29551.821360000002</v>
      </c>
    </row>
    <row r="55" spans="1:17" x14ac:dyDescent="0.2">
      <c r="A55" t="s">
        <v>74</v>
      </c>
      <c r="B55">
        <v>0</v>
      </c>
      <c r="C55">
        <v>21.560245439999999</v>
      </c>
      <c r="D55">
        <v>0</v>
      </c>
      <c r="E55">
        <v>0</v>
      </c>
      <c r="F55" t="s">
        <v>19</v>
      </c>
      <c r="G55" t="s">
        <v>36</v>
      </c>
      <c r="H55" t="s">
        <v>37</v>
      </c>
      <c r="I55">
        <v>32175.338019999999</v>
      </c>
      <c r="J55" t="s">
        <v>37</v>
      </c>
      <c r="K55">
        <v>0</v>
      </c>
      <c r="L55" t="s">
        <v>27</v>
      </c>
      <c r="M55" t="str">
        <f t="shared" si="0"/>
        <v>controlfree-ranging domestic</v>
      </c>
      <c r="N55" t="s">
        <v>28</v>
      </c>
      <c r="O55" t="s">
        <v>29</v>
      </c>
      <c r="P55" t="s">
        <v>71</v>
      </c>
      <c r="Q55" t="s">
        <v>16</v>
      </c>
    </row>
    <row r="56" spans="1:17" x14ac:dyDescent="0.2">
      <c r="A56" t="s">
        <v>929</v>
      </c>
      <c r="B56">
        <v>0</v>
      </c>
      <c r="C56">
        <v>1029319815</v>
      </c>
      <c r="D56">
        <v>6175918.8930000002</v>
      </c>
      <c r="E56">
        <v>1235183779</v>
      </c>
      <c r="F56" t="s">
        <v>33</v>
      </c>
      <c r="G56" t="s">
        <v>36</v>
      </c>
      <c r="H56" t="s">
        <v>38</v>
      </c>
      <c r="I56">
        <v>32011377244</v>
      </c>
      <c r="J56" t="s">
        <v>38</v>
      </c>
      <c r="K56">
        <v>6186535.2079999996</v>
      </c>
      <c r="L56" t="s">
        <v>27</v>
      </c>
      <c r="M56" t="str">
        <f t="shared" si="0"/>
        <v>controlfree-ranging domestic</v>
      </c>
      <c r="N56" t="s">
        <v>28</v>
      </c>
      <c r="O56" t="s">
        <v>29</v>
      </c>
      <c r="P56" t="s">
        <v>71</v>
      </c>
      <c r="Q56" t="s">
        <v>16</v>
      </c>
    </row>
    <row r="57" spans="1:17" x14ac:dyDescent="0.2">
      <c r="A57" t="s">
        <v>75</v>
      </c>
      <c r="B57">
        <v>0</v>
      </c>
      <c r="C57" t="s">
        <v>16</v>
      </c>
      <c r="D57">
        <v>0</v>
      </c>
      <c r="E57">
        <v>0</v>
      </c>
      <c r="F57" t="s">
        <v>17</v>
      </c>
      <c r="G57" t="s">
        <v>36</v>
      </c>
      <c r="H57" t="s">
        <v>38</v>
      </c>
      <c r="I57">
        <v>13064689.560000001</v>
      </c>
      <c r="J57" t="s">
        <v>38</v>
      </c>
      <c r="K57">
        <v>5910364.2719999999</v>
      </c>
      <c r="L57" t="s">
        <v>27</v>
      </c>
      <c r="M57" t="str">
        <f t="shared" si="0"/>
        <v>controlfree-ranging domestic</v>
      </c>
      <c r="N57" t="s">
        <v>28</v>
      </c>
      <c r="O57" t="s">
        <v>29</v>
      </c>
      <c r="P57" t="s">
        <v>71</v>
      </c>
      <c r="Q57" t="s">
        <v>16</v>
      </c>
    </row>
    <row r="58" spans="1:17" x14ac:dyDescent="0.2">
      <c r="A58" t="s">
        <v>76</v>
      </c>
      <c r="B58">
        <v>0.14410868499999999</v>
      </c>
      <c r="C58">
        <v>1737.468253</v>
      </c>
      <c r="D58">
        <v>160.87669009999999</v>
      </c>
      <c r="E58">
        <v>32175.338019999999</v>
      </c>
      <c r="F58" t="s">
        <v>19</v>
      </c>
      <c r="G58" t="s">
        <v>41</v>
      </c>
      <c r="H58" t="s">
        <v>16</v>
      </c>
      <c r="I58" t="s">
        <v>16</v>
      </c>
      <c r="J58" t="s">
        <v>16</v>
      </c>
      <c r="K58" t="s">
        <v>16</v>
      </c>
      <c r="L58" t="s">
        <v>27</v>
      </c>
      <c r="M58" t="str">
        <f t="shared" si="0"/>
        <v>challengedfree-ranging domestic</v>
      </c>
      <c r="N58" t="s">
        <v>28</v>
      </c>
      <c r="O58" t="s">
        <v>29</v>
      </c>
      <c r="P58" t="s">
        <v>71</v>
      </c>
      <c r="Q58">
        <v>160.87669009999999</v>
      </c>
    </row>
    <row r="59" spans="1:17" x14ac:dyDescent="0.2">
      <c r="A59" t="s">
        <v>930</v>
      </c>
      <c r="B59">
        <v>4.5813217000000003E-2</v>
      </c>
      <c r="C59">
        <v>2667614770</v>
      </c>
      <c r="D59">
        <v>160056886.19999999</v>
      </c>
      <c r="E59">
        <v>32011377244</v>
      </c>
      <c r="F59" t="s">
        <v>33</v>
      </c>
      <c r="G59" t="s">
        <v>41</v>
      </c>
      <c r="H59" t="s">
        <v>16</v>
      </c>
      <c r="I59" t="s">
        <v>16</v>
      </c>
      <c r="J59" t="s">
        <v>16</v>
      </c>
      <c r="K59" t="s">
        <v>16</v>
      </c>
      <c r="L59" t="s">
        <v>27</v>
      </c>
      <c r="M59" t="str">
        <f t="shared" si="0"/>
        <v>challengedfree-ranging domestic</v>
      </c>
      <c r="N59" t="s">
        <v>28</v>
      </c>
      <c r="O59" t="s">
        <v>29</v>
      </c>
      <c r="P59" t="s">
        <v>71</v>
      </c>
      <c r="Q59">
        <v>159991562.80000001</v>
      </c>
    </row>
    <row r="60" spans="1:17" x14ac:dyDescent="0.2">
      <c r="A60" t="s">
        <v>77</v>
      </c>
      <c r="B60">
        <v>7.5621870999999993E-2</v>
      </c>
      <c r="C60">
        <v>1088724.1299999999</v>
      </c>
      <c r="D60">
        <v>65323.447789999998</v>
      </c>
      <c r="E60">
        <v>13064689.560000001</v>
      </c>
      <c r="F60" t="s">
        <v>17</v>
      </c>
      <c r="G60" t="s">
        <v>41</v>
      </c>
      <c r="H60" t="s">
        <v>16</v>
      </c>
      <c r="I60" t="s">
        <v>16</v>
      </c>
      <c r="J60" t="s">
        <v>16</v>
      </c>
      <c r="K60" t="s">
        <v>16</v>
      </c>
      <c r="L60" t="s">
        <v>27</v>
      </c>
      <c r="M60" t="str">
        <f t="shared" si="0"/>
        <v>challengedfree-ranging domestic</v>
      </c>
      <c r="N60" t="s">
        <v>28</v>
      </c>
      <c r="O60" t="s">
        <v>29</v>
      </c>
      <c r="P60" t="s">
        <v>71</v>
      </c>
      <c r="Q60">
        <v>65323.447789999998</v>
      </c>
    </row>
    <row r="61" spans="1:17" x14ac:dyDescent="0.2">
      <c r="A61" t="s">
        <v>78</v>
      </c>
      <c r="B61">
        <v>0.201432528</v>
      </c>
      <c r="C61">
        <v>2.4825961820331068</v>
      </c>
      <c r="D61">
        <v>0.22987001685491729</v>
      </c>
      <c r="E61">
        <f>D61*200</f>
        <v>45.974003370983461</v>
      </c>
      <c r="F61" t="s">
        <v>19</v>
      </c>
      <c r="G61" t="s">
        <v>32</v>
      </c>
      <c r="H61" t="s">
        <v>16</v>
      </c>
      <c r="I61" t="s">
        <v>16</v>
      </c>
      <c r="J61" t="s">
        <v>16</v>
      </c>
      <c r="K61" t="s">
        <v>16</v>
      </c>
      <c r="L61" t="s">
        <v>27</v>
      </c>
      <c r="M61" t="str">
        <f t="shared" si="0"/>
        <v>abx_challengedfree-ranging domestic</v>
      </c>
      <c r="N61" t="s">
        <v>28</v>
      </c>
      <c r="O61" t="s">
        <v>29</v>
      </c>
      <c r="P61" t="s">
        <v>79</v>
      </c>
      <c r="Q61">
        <f>E61-E62</f>
        <v>-152.9243381520939</v>
      </c>
    </row>
    <row r="62" spans="1:17" x14ac:dyDescent="0.2">
      <c r="A62" t="s">
        <v>80</v>
      </c>
      <c r="B62">
        <v>0</v>
      </c>
      <c r="C62">
        <v>10.740510442246176</v>
      </c>
      <c r="D62">
        <v>0.99449170761538674</v>
      </c>
      <c r="E62">
        <f t="shared" ref="E62:E63" si="2">D62*200</f>
        <v>198.89834152307736</v>
      </c>
      <c r="F62" t="s">
        <v>19</v>
      </c>
      <c r="G62" t="s">
        <v>36</v>
      </c>
      <c r="H62" t="s">
        <v>37</v>
      </c>
      <c r="I62">
        <v>31.857757840000001</v>
      </c>
      <c r="J62" t="s">
        <v>37</v>
      </c>
      <c r="K62">
        <v>45.974003369999998</v>
      </c>
      <c r="L62" t="s">
        <v>27</v>
      </c>
      <c r="M62" t="str">
        <f t="shared" si="0"/>
        <v>controlfree-ranging domestic</v>
      </c>
      <c r="N62" t="s">
        <v>28</v>
      </c>
      <c r="O62" t="s">
        <v>29</v>
      </c>
      <c r="P62" t="s">
        <v>79</v>
      </c>
      <c r="Q62" t="s">
        <v>16</v>
      </c>
    </row>
    <row r="63" spans="1:17" x14ac:dyDescent="0.2">
      <c r="A63" t="s">
        <v>81</v>
      </c>
      <c r="B63">
        <v>0.14410868499999999</v>
      </c>
      <c r="C63">
        <v>1.7203189236077598</v>
      </c>
      <c r="D63">
        <v>0.15928878922294074</v>
      </c>
      <c r="E63">
        <f t="shared" si="2"/>
        <v>31.857757844588146</v>
      </c>
      <c r="F63" t="s">
        <v>19</v>
      </c>
      <c r="G63" t="s">
        <v>41</v>
      </c>
      <c r="H63" t="s">
        <v>16</v>
      </c>
      <c r="I63" t="s">
        <v>16</v>
      </c>
      <c r="J63" t="s">
        <v>16</v>
      </c>
      <c r="K63" t="s">
        <v>16</v>
      </c>
      <c r="L63" t="s">
        <v>27</v>
      </c>
      <c r="M63" t="str">
        <f t="shared" si="0"/>
        <v>challengedfree-ranging domestic</v>
      </c>
      <c r="N63" t="s">
        <v>28</v>
      </c>
      <c r="O63" t="s">
        <v>29</v>
      </c>
      <c r="P63" t="s">
        <v>79</v>
      </c>
      <c r="Q63">
        <f>E63-E62</f>
        <v>-167.04058367848921</v>
      </c>
    </row>
    <row r="64" spans="1:17" x14ac:dyDescent="0.2">
      <c r="A64" t="s">
        <v>82</v>
      </c>
      <c r="B64" t="s">
        <v>16</v>
      </c>
      <c r="C64" t="s">
        <v>16</v>
      </c>
      <c r="D64" t="s">
        <v>16</v>
      </c>
      <c r="E64" t="s">
        <v>16</v>
      </c>
      <c r="F64" t="s">
        <v>26</v>
      </c>
      <c r="G64" t="s">
        <v>26</v>
      </c>
      <c r="H64" t="s">
        <v>16</v>
      </c>
      <c r="I64" t="s">
        <v>16</v>
      </c>
      <c r="J64" t="s">
        <v>16</v>
      </c>
      <c r="K64" t="s">
        <v>16</v>
      </c>
      <c r="L64" t="s">
        <v>27</v>
      </c>
      <c r="M64" t="str">
        <f t="shared" si="0"/>
        <v>fecalfree-ranging domestic</v>
      </c>
      <c r="N64" t="s">
        <v>28</v>
      </c>
      <c r="O64" t="s">
        <v>29</v>
      </c>
      <c r="P64" t="s">
        <v>83</v>
      </c>
      <c r="Q64" t="s">
        <v>16</v>
      </c>
    </row>
    <row r="65" spans="1:17" x14ac:dyDescent="0.2">
      <c r="A65" t="s">
        <v>84</v>
      </c>
      <c r="B65">
        <v>0.171439016</v>
      </c>
      <c r="C65">
        <v>12.35434613</v>
      </c>
      <c r="D65">
        <v>0</v>
      </c>
      <c r="E65">
        <v>0</v>
      </c>
      <c r="F65" t="s">
        <v>19</v>
      </c>
      <c r="G65" t="s">
        <v>32</v>
      </c>
      <c r="H65" t="s">
        <v>16</v>
      </c>
      <c r="I65" t="s">
        <v>16</v>
      </c>
      <c r="J65" t="s">
        <v>16</v>
      </c>
      <c r="K65" t="s">
        <v>16</v>
      </c>
      <c r="L65" t="s">
        <v>27</v>
      </c>
      <c r="M65" t="str">
        <f t="shared" si="0"/>
        <v>abx_challengedfree-ranging domestic</v>
      </c>
      <c r="N65" t="s">
        <v>28</v>
      </c>
      <c r="O65" t="s">
        <v>29</v>
      </c>
      <c r="P65" t="s">
        <v>83</v>
      </c>
      <c r="Q65">
        <v>0</v>
      </c>
    </row>
    <row r="66" spans="1:17" x14ac:dyDescent="0.2">
      <c r="A66" t="s">
        <v>931</v>
      </c>
      <c r="B66">
        <v>0.15283788300000001</v>
      </c>
      <c r="C66">
        <v>30280720.48</v>
      </c>
      <c r="D66">
        <v>60561.44096</v>
      </c>
      <c r="E66">
        <v>12112288.189999999</v>
      </c>
      <c r="F66" t="s">
        <v>33</v>
      </c>
      <c r="G66" t="s">
        <v>32</v>
      </c>
      <c r="H66" t="s">
        <v>16</v>
      </c>
      <c r="I66" t="s">
        <v>16</v>
      </c>
      <c r="J66" t="s">
        <v>16</v>
      </c>
      <c r="K66" t="s">
        <v>16</v>
      </c>
      <c r="L66" t="s">
        <v>27</v>
      </c>
      <c r="M66" t="str">
        <f t="shared" si="0"/>
        <v>abx_challengedfree-ranging domestic</v>
      </c>
      <c r="N66" t="s">
        <v>28</v>
      </c>
      <c r="O66" t="s">
        <v>29</v>
      </c>
      <c r="P66" t="s">
        <v>83</v>
      </c>
      <c r="Q66">
        <v>60561.44096</v>
      </c>
    </row>
    <row r="67" spans="1:17" x14ac:dyDescent="0.2">
      <c r="A67" t="s">
        <v>85</v>
      </c>
      <c r="B67">
        <v>0.19905437000000001</v>
      </c>
      <c r="C67">
        <v>10221494.33</v>
      </c>
      <c r="D67">
        <v>61328.965989999997</v>
      </c>
      <c r="E67">
        <v>12265793.199999999</v>
      </c>
      <c r="F67" t="s">
        <v>17</v>
      </c>
      <c r="G67" t="s">
        <v>32</v>
      </c>
      <c r="H67" t="s">
        <v>16</v>
      </c>
      <c r="I67" t="s">
        <v>16</v>
      </c>
      <c r="J67" t="s">
        <v>16</v>
      </c>
      <c r="K67" t="s">
        <v>16</v>
      </c>
      <c r="L67" t="s">
        <v>27</v>
      </c>
      <c r="M67" t="str">
        <f t="shared" si="0"/>
        <v>abx_challengedfree-ranging domestic</v>
      </c>
      <c r="N67" t="s">
        <v>28</v>
      </c>
      <c r="O67" t="s">
        <v>29</v>
      </c>
      <c r="P67" t="s">
        <v>83</v>
      </c>
      <c r="Q67">
        <v>61328.965989999997</v>
      </c>
    </row>
    <row r="68" spans="1:17" x14ac:dyDescent="0.2">
      <c r="A68" t="s">
        <v>86</v>
      </c>
      <c r="B68">
        <v>0</v>
      </c>
      <c r="C68">
        <v>27.068541939999999</v>
      </c>
      <c r="D68">
        <v>0</v>
      </c>
      <c r="E68">
        <v>0</v>
      </c>
      <c r="F68" t="s">
        <v>19</v>
      </c>
      <c r="G68" t="s">
        <v>36</v>
      </c>
      <c r="H68" t="s">
        <v>37</v>
      </c>
      <c r="I68">
        <v>0</v>
      </c>
      <c r="J68" t="s">
        <v>37</v>
      </c>
      <c r="K68">
        <v>0</v>
      </c>
      <c r="L68" t="s">
        <v>27</v>
      </c>
      <c r="M68" t="str">
        <f t="shared" si="0"/>
        <v>controlfree-ranging domestic</v>
      </c>
      <c r="N68" t="s">
        <v>28</v>
      </c>
      <c r="O68" t="s">
        <v>29</v>
      </c>
      <c r="P68" t="s">
        <v>83</v>
      </c>
      <c r="Q68" t="s">
        <v>16</v>
      </c>
    </row>
    <row r="69" spans="1:17" x14ac:dyDescent="0.2">
      <c r="A69" t="s">
        <v>932</v>
      </c>
      <c r="B69">
        <v>0</v>
      </c>
      <c r="C69">
        <v>968461769.70000005</v>
      </c>
      <c r="D69">
        <v>5810770.6179999998</v>
      </c>
      <c r="E69">
        <v>1162154124</v>
      </c>
      <c r="F69" t="s">
        <v>33</v>
      </c>
      <c r="G69" t="s">
        <v>36</v>
      </c>
      <c r="H69" t="s">
        <v>38</v>
      </c>
      <c r="I69">
        <v>29610414770</v>
      </c>
      <c r="J69" t="s">
        <v>38</v>
      </c>
      <c r="K69">
        <v>12112288.189999999</v>
      </c>
      <c r="L69" t="s">
        <v>27</v>
      </c>
      <c r="M69" t="str">
        <f t="shared" si="0"/>
        <v>controlfree-ranging domestic</v>
      </c>
      <c r="N69" t="s">
        <v>28</v>
      </c>
      <c r="O69" t="s">
        <v>29</v>
      </c>
      <c r="P69" t="s">
        <v>83</v>
      </c>
      <c r="Q69" t="s">
        <v>16</v>
      </c>
    </row>
    <row r="70" spans="1:17" x14ac:dyDescent="0.2">
      <c r="A70" t="s">
        <v>87</v>
      </c>
      <c r="B70">
        <v>0</v>
      </c>
      <c r="C70" t="s">
        <v>16</v>
      </c>
      <c r="D70">
        <v>0</v>
      </c>
      <c r="E70">
        <v>0</v>
      </c>
      <c r="F70" t="s">
        <v>17</v>
      </c>
      <c r="G70" t="s">
        <v>36</v>
      </c>
      <c r="H70" t="s">
        <v>38</v>
      </c>
      <c r="I70">
        <v>63317737.689999998</v>
      </c>
      <c r="J70" t="s">
        <v>38</v>
      </c>
      <c r="K70">
        <v>12265793.199999999</v>
      </c>
      <c r="L70" t="s">
        <v>27</v>
      </c>
      <c r="M70" t="str">
        <f t="shared" si="0"/>
        <v>controlfree-ranging domestic</v>
      </c>
      <c r="N70" t="s">
        <v>28</v>
      </c>
      <c r="O70" t="s">
        <v>29</v>
      </c>
      <c r="P70" t="s">
        <v>83</v>
      </c>
      <c r="Q70" t="s">
        <v>16</v>
      </c>
    </row>
    <row r="71" spans="1:17" x14ac:dyDescent="0.2">
      <c r="A71" t="s">
        <v>88</v>
      </c>
      <c r="B71">
        <v>0.130032435</v>
      </c>
      <c r="C71">
        <v>68.714016000000001</v>
      </c>
      <c r="D71">
        <v>0</v>
      </c>
      <c r="E71">
        <v>0</v>
      </c>
      <c r="F71" t="s">
        <v>19</v>
      </c>
      <c r="G71" t="s">
        <v>41</v>
      </c>
      <c r="H71" t="s">
        <v>16</v>
      </c>
      <c r="I71" t="s">
        <v>16</v>
      </c>
      <c r="J71" t="s">
        <v>16</v>
      </c>
      <c r="K71" t="s">
        <v>16</v>
      </c>
      <c r="L71" t="s">
        <v>27</v>
      </c>
      <c r="M71" t="str">
        <f t="shared" si="0"/>
        <v>challengedfree-ranging domestic</v>
      </c>
      <c r="N71" t="s">
        <v>28</v>
      </c>
      <c r="O71" t="s">
        <v>29</v>
      </c>
      <c r="P71" t="s">
        <v>83</v>
      </c>
      <c r="Q71">
        <v>0</v>
      </c>
    </row>
    <row r="72" spans="1:17" x14ac:dyDescent="0.2">
      <c r="A72" t="s">
        <v>933</v>
      </c>
      <c r="B72">
        <v>1.5255812000000001E-2</v>
      </c>
      <c r="C72">
        <v>2467534564</v>
      </c>
      <c r="D72">
        <v>148052073.90000001</v>
      </c>
      <c r="E72">
        <v>29610414770</v>
      </c>
      <c r="F72" t="s">
        <v>33</v>
      </c>
      <c r="G72" t="s">
        <v>41</v>
      </c>
      <c r="H72" t="s">
        <v>16</v>
      </c>
      <c r="I72" t="s">
        <v>16</v>
      </c>
      <c r="J72" t="s">
        <v>16</v>
      </c>
      <c r="K72" t="s">
        <v>16</v>
      </c>
      <c r="L72" t="s">
        <v>27</v>
      </c>
      <c r="M72" t="str">
        <f t="shared" si="0"/>
        <v>challengedfree-ranging domestic</v>
      </c>
      <c r="N72" t="s">
        <v>28</v>
      </c>
      <c r="O72" t="s">
        <v>29</v>
      </c>
      <c r="P72" t="s">
        <v>83</v>
      </c>
      <c r="Q72">
        <v>147735485.19999999</v>
      </c>
    </row>
    <row r="73" spans="1:17" x14ac:dyDescent="0.2">
      <c r="A73" t="s">
        <v>89</v>
      </c>
      <c r="B73">
        <v>8.6934448999999997E-2</v>
      </c>
      <c r="C73">
        <v>5276478.1409999998</v>
      </c>
      <c r="D73">
        <v>316588.68849999999</v>
      </c>
      <c r="E73">
        <v>63317737.689999998</v>
      </c>
      <c r="F73" t="s">
        <v>17</v>
      </c>
      <c r="G73" t="s">
        <v>41</v>
      </c>
      <c r="H73" t="s">
        <v>16</v>
      </c>
      <c r="I73" t="s">
        <v>16</v>
      </c>
      <c r="J73" t="s">
        <v>16</v>
      </c>
      <c r="K73" t="s">
        <v>16</v>
      </c>
      <c r="L73" t="s">
        <v>27</v>
      </c>
      <c r="M73" t="str">
        <f t="shared" si="0"/>
        <v>challengedfree-ranging domestic</v>
      </c>
      <c r="N73" t="s">
        <v>28</v>
      </c>
      <c r="O73" t="s">
        <v>29</v>
      </c>
      <c r="P73" t="s">
        <v>83</v>
      </c>
      <c r="Q73">
        <v>316588.68849999999</v>
      </c>
    </row>
    <row r="74" spans="1:17" x14ac:dyDescent="0.2">
      <c r="A74" t="s">
        <v>90</v>
      </c>
      <c r="B74" t="s">
        <v>16</v>
      </c>
      <c r="C74">
        <v>4.3201515593322464</v>
      </c>
      <c r="D74">
        <v>0.40001403327150431</v>
      </c>
      <c r="E74">
        <f>D74*200</f>
        <v>80.002806654300855</v>
      </c>
      <c r="F74" t="s">
        <v>19</v>
      </c>
      <c r="G74" t="s">
        <v>91</v>
      </c>
      <c r="H74" t="s">
        <v>16</v>
      </c>
      <c r="I74" t="s">
        <v>16</v>
      </c>
      <c r="J74" t="s">
        <v>16</v>
      </c>
      <c r="K74" t="s">
        <v>16</v>
      </c>
      <c r="L74" t="s">
        <v>27</v>
      </c>
      <c r="M74" t="str">
        <f t="shared" ref="M74:M137" si="3">CONCATENATE(G74, L74)</f>
        <v>ABXfree-ranging domestic</v>
      </c>
      <c r="N74" t="s">
        <v>28</v>
      </c>
      <c r="O74" t="s">
        <v>29</v>
      </c>
      <c r="P74" t="s">
        <v>92</v>
      </c>
      <c r="Q74">
        <f>E74-E76</f>
        <v>-648.08700788656643</v>
      </c>
    </row>
    <row r="75" spans="1:17" x14ac:dyDescent="0.2">
      <c r="A75" t="s">
        <v>93</v>
      </c>
      <c r="B75">
        <v>0.20329239700000001</v>
      </c>
      <c r="C75">
        <v>80.296321861108865</v>
      </c>
      <c r="D75">
        <v>7.4348446167693396</v>
      </c>
      <c r="E75">
        <f t="shared" ref="E75:E76" si="4">D75*200</f>
        <v>1486.9689233538679</v>
      </c>
      <c r="F75" t="s">
        <v>19</v>
      </c>
      <c r="G75" t="s">
        <v>32</v>
      </c>
      <c r="H75" t="s">
        <v>16</v>
      </c>
      <c r="I75" t="s">
        <v>16</v>
      </c>
      <c r="J75" t="s">
        <v>16</v>
      </c>
      <c r="K75" t="s">
        <v>16</v>
      </c>
      <c r="L75" t="s">
        <v>27</v>
      </c>
      <c r="M75" t="str">
        <f t="shared" si="3"/>
        <v>abx_challengedfree-ranging domestic</v>
      </c>
      <c r="N75" t="s">
        <v>28</v>
      </c>
      <c r="O75" t="s">
        <v>29</v>
      </c>
      <c r="P75" t="s">
        <v>92</v>
      </c>
      <c r="Q75">
        <f>E75-E76</f>
        <v>758.87910881300058</v>
      </c>
    </row>
    <row r="76" spans="1:17" x14ac:dyDescent="0.2">
      <c r="A76" t="s">
        <v>94</v>
      </c>
      <c r="B76">
        <v>0</v>
      </c>
      <c r="C76">
        <v>39.316849985206836</v>
      </c>
      <c r="D76">
        <v>3.6404490727043366</v>
      </c>
      <c r="E76">
        <f t="shared" si="4"/>
        <v>728.08981454086734</v>
      </c>
      <c r="F76" t="s">
        <v>19</v>
      </c>
      <c r="G76" t="s">
        <v>36</v>
      </c>
      <c r="H76" t="s">
        <v>37</v>
      </c>
      <c r="I76" t="s">
        <v>16</v>
      </c>
      <c r="J76" t="s">
        <v>37</v>
      </c>
      <c r="K76">
        <v>1486.9689229999999</v>
      </c>
      <c r="L76" t="s">
        <v>27</v>
      </c>
      <c r="M76" t="str">
        <f t="shared" si="3"/>
        <v>controlfree-ranging domestic</v>
      </c>
      <c r="N76" t="s">
        <v>28</v>
      </c>
      <c r="O76" t="s">
        <v>29</v>
      </c>
      <c r="P76" t="s">
        <v>92</v>
      </c>
      <c r="Q76" t="s">
        <v>16</v>
      </c>
    </row>
    <row r="77" spans="1:17" x14ac:dyDescent="0.2">
      <c r="A77" t="s">
        <v>95</v>
      </c>
      <c r="B77" t="s">
        <v>16</v>
      </c>
      <c r="C77" t="s">
        <v>16</v>
      </c>
      <c r="D77" t="s">
        <v>16</v>
      </c>
      <c r="E77" t="s">
        <v>16</v>
      </c>
      <c r="F77" t="s">
        <v>26</v>
      </c>
      <c r="G77" t="s">
        <v>26</v>
      </c>
      <c r="H77" t="s">
        <v>16</v>
      </c>
      <c r="I77" t="s">
        <v>16</v>
      </c>
      <c r="J77" t="s">
        <v>16</v>
      </c>
      <c r="K77" t="s">
        <v>16</v>
      </c>
      <c r="L77" t="s">
        <v>27</v>
      </c>
      <c r="M77" t="str">
        <f t="shared" si="3"/>
        <v>fecalfree-ranging domestic</v>
      </c>
      <c r="N77" t="s">
        <v>28</v>
      </c>
      <c r="O77" t="s">
        <v>96</v>
      </c>
      <c r="P77" t="s">
        <v>97</v>
      </c>
      <c r="Q77" t="s">
        <v>16</v>
      </c>
    </row>
    <row r="78" spans="1:17" x14ac:dyDescent="0.2">
      <c r="A78" t="s">
        <v>98</v>
      </c>
      <c r="B78">
        <v>0.20062759299999999</v>
      </c>
      <c r="C78">
        <v>242.65143889999999</v>
      </c>
      <c r="D78">
        <v>22.467725829999999</v>
      </c>
      <c r="E78">
        <v>4493.5451659999999</v>
      </c>
      <c r="F78" t="s">
        <v>19</v>
      </c>
      <c r="G78" t="s">
        <v>32</v>
      </c>
      <c r="H78" t="s">
        <v>16</v>
      </c>
      <c r="I78" t="s">
        <v>16</v>
      </c>
      <c r="J78" t="s">
        <v>16</v>
      </c>
      <c r="K78" t="s">
        <v>16</v>
      </c>
      <c r="L78" t="s">
        <v>27</v>
      </c>
      <c r="M78" t="str">
        <f t="shared" si="3"/>
        <v>abx_challengedfree-ranging domestic</v>
      </c>
      <c r="N78" t="s">
        <v>28</v>
      </c>
      <c r="O78" t="s">
        <v>96</v>
      </c>
      <c r="P78" t="s">
        <v>97</v>
      </c>
      <c r="Q78">
        <v>22.467725829999999</v>
      </c>
    </row>
    <row r="79" spans="1:17" x14ac:dyDescent="0.2">
      <c r="A79" t="s">
        <v>934</v>
      </c>
      <c r="B79">
        <v>0.111074173</v>
      </c>
      <c r="C79">
        <v>48803651.840000004</v>
      </c>
      <c r="D79">
        <v>97607.303690000001</v>
      </c>
      <c r="E79">
        <v>19521460.739999998</v>
      </c>
      <c r="F79" t="s">
        <v>33</v>
      </c>
      <c r="G79" t="s">
        <v>32</v>
      </c>
      <c r="H79" t="s">
        <v>16</v>
      </c>
      <c r="I79" t="s">
        <v>16</v>
      </c>
      <c r="J79" t="s">
        <v>16</v>
      </c>
      <c r="K79" t="s">
        <v>16</v>
      </c>
      <c r="L79" t="s">
        <v>27</v>
      </c>
      <c r="M79" t="str">
        <f t="shared" si="3"/>
        <v>abx_challengedfree-ranging domestic</v>
      </c>
      <c r="N79" t="s">
        <v>28</v>
      </c>
      <c r="O79" t="s">
        <v>96</v>
      </c>
      <c r="P79" t="s">
        <v>97</v>
      </c>
      <c r="Q79">
        <v>97607.303690000001</v>
      </c>
    </row>
    <row r="80" spans="1:17" x14ac:dyDescent="0.2">
      <c r="A80" t="s">
        <v>99</v>
      </c>
      <c r="B80">
        <v>0.266540202</v>
      </c>
      <c r="C80">
        <v>12424005.289999999</v>
      </c>
      <c r="D80">
        <v>74544.031730000002</v>
      </c>
      <c r="E80">
        <v>14908806.35</v>
      </c>
      <c r="F80" t="s">
        <v>17</v>
      </c>
      <c r="G80" t="s">
        <v>32</v>
      </c>
      <c r="H80" t="s">
        <v>16</v>
      </c>
      <c r="I80" t="s">
        <v>16</v>
      </c>
      <c r="J80" t="s">
        <v>16</v>
      </c>
      <c r="K80" t="s">
        <v>16</v>
      </c>
      <c r="L80" t="s">
        <v>27</v>
      </c>
      <c r="M80" t="str">
        <f t="shared" si="3"/>
        <v>abx_challengedfree-ranging domestic</v>
      </c>
      <c r="N80" t="s">
        <v>28</v>
      </c>
      <c r="O80" t="s">
        <v>96</v>
      </c>
      <c r="P80" t="s">
        <v>97</v>
      </c>
      <c r="Q80">
        <v>74544.031730000002</v>
      </c>
    </row>
    <row r="81" spans="1:17" x14ac:dyDescent="0.2">
      <c r="A81" t="s">
        <v>100</v>
      </c>
      <c r="B81">
        <v>0</v>
      </c>
      <c r="C81" t="s">
        <v>16</v>
      </c>
      <c r="D81">
        <v>0</v>
      </c>
      <c r="E81">
        <v>0</v>
      </c>
      <c r="F81" t="s">
        <v>19</v>
      </c>
      <c r="G81" t="s">
        <v>36</v>
      </c>
      <c r="H81" t="s">
        <v>37</v>
      </c>
      <c r="I81">
        <v>2331.1780020000001</v>
      </c>
      <c r="J81" t="s">
        <v>37</v>
      </c>
      <c r="K81">
        <v>4493.5451659999999</v>
      </c>
      <c r="L81" t="s">
        <v>27</v>
      </c>
      <c r="M81" t="str">
        <f t="shared" si="3"/>
        <v>controlfree-ranging domestic</v>
      </c>
      <c r="N81" t="s">
        <v>28</v>
      </c>
      <c r="O81" t="s">
        <v>96</v>
      </c>
      <c r="P81" t="s">
        <v>97</v>
      </c>
      <c r="Q81" t="s">
        <v>16</v>
      </c>
    </row>
    <row r="82" spans="1:17" x14ac:dyDescent="0.2">
      <c r="A82" t="s">
        <v>935</v>
      </c>
      <c r="B82">
        <v>0</v>
      </c>
      <c r="C82">
        <v>22919049.850000001</v>
      </c>
      <c r="D82">
        <v>137514.2991</v>
      </c>
      <c r="E82">
        <v>27502859.82</v>
      </c>
      <c r="F82" t="s">
        <v>33</v>
      </c>
      <c r="G82" t="s">
        <v>36</v>
      </c>
      <c r="H82" t="s">
        <v>38</v>
      </c>
      <c r="I82">
        <v>23945739763</v>
      </c>
      <c r="J82" t="s">
        <v>38</v>
      </c>
      <c r="K82">
        <v>19521460.739999998</v>
      </c>
      <c r="L82" t="s">
        <v>27</v>
      </c>
      <c r="M82" t="str">
        <f t="shared" si="3"/>
        <v>controlfree-ranging domestic</v>
      </c>
      <c r="N82" t="s">
        <v>28</v>
      </c>
      <c r="O82" t="s">
        <v>96</v>
      </c>
      <c r="P82" t="s">
        <v>97</v>
      </c>
      <c r="Q82" t="s">
        <v>16</v>
      </c>
    </row>
    <row r="83" spans="1:17" x14ac:dyDescent="0.2">
      <c r="A83" t="s">
        <v>101</v>
      </c>
      <c r="B83">
        <v>0</v>
      </c>
      <c r="C83" t="s">
        <v>16</v>
      </c>
      <c r="D83" t="s">
        <v>16</v>
      </c>
      <c r="E83" t="s">
        <v>16</v>
      </c>
      <c r="F83" t="s">
        <v>19</v>
      </c>
      <c r="G83" t="s">
        <v>36</v>
      </c>
      <c r="H83" t="s">
        <v>16</v>
      </c>
      <c r="I83" t="s">
        <v>16</v>
      </c>
      <c r="J83" t="s">
        <v>16</v>
      </c>
      <c r="K83" t="s">
        <v>16</v>
      </c>
      <c r="L83" t="s">
        <v>27</v>
      </c>
      <c r="M83" t="str">
        <f t="shared" si="3"/>
        <v>controlfree-ranging domestic</v>
      </c>
      <c r="N83" t="s">
        <v>28</v>
      </c>
      <c r="O83" t="s">
        <v>96</v>
      </c>
      <c r="P83" t="s">
        <v>102</v>
      </c>
      <c r="Q83" t="s">
        <v>16</v>
      </c>
    </row>
    <row r="84" spans="1:17" x14ac:dyDescent="0.2">
      <c r="A84" t="s">
        <v>103</v>
      </c>
      <c r="B84">
        <v>0</v>
      </c>
      <c r="C84" t="s">
        <v>16</v>
      </c>
      <c r="D84">
        <v>0</v>
      </c>
      <c r="E84">
        <v>0</v>
      </c>
      <c r="F84" t="s">
        <v>17</v>
      </c>
      <c r="G84" t="s">
        <v>36</v>
      </c>
      <c r="H84" t="s">
        <v>38</v>
      </c>
      <c r="I84">
        <v>60600894.850000001</v>
      </c>
      <c r="J84" t="s">
        <v>38</v>
      </c>
      <c r="K84">
        <v>14908806.35</v>
      </c>
      <c r="L84" t="s">
        <v>27</v>
      </c>
      <c r="M84" t="str">
        <f t="shared" si="3"/>
        <v>controlfree-ranging domestic</v>
      </c>
      <c r="N84" t="s">
        <v>28</v>
      </c>
      <c r="O84" t="s">
        <v>96</v>
      </c>
      <c r="P84" t="s">
        <v>97</v>
      </c>
      <c r="Q84" t="s">
        <v>16</v>
      </c>
    </row>
    <row r="85" spans="1:17" x14ac:dyDescent="0.2">
      <c r="A85" t="s">
        <v>104</v>
      </c>
      <c r="B85">
        <v>8.1229666000000006E-2</v>
      </c>
      <c r="C85">
        <v>125.88361209999999</v>
      </c>
      <c r="D85">
        <v>11.65589001</v>
      </c>
      <c r="E85">
        <v>2331.1780020000001</v>
      </c>
      <c r="F85" t="s">
        <v>19</v>
      </c>
      <c r="G85" t="s">
        <v>41</v>
      </c>
      <c r="H85" t="s">
        <v>16</v>
      </c>
      <c r="I85" t="s">
        <v>16</v>
      </c>
      <c r="J85" t="s">
        <v>16</v>
      </c>
      <c r="K85" t="s">
        <v>16</v>
      </c>
      <c r="L85" t="s">
        <v>27</v>
      </c>
      <c r="M85" t="str">
        <f t="shared" si="3"/>
        <v>challengedfree-ranging domestic</v>
      </c>
      <c r="N85" t="s">
        <v>28</v>
      </c>
      <c r="O85" t="s">
        <v>96</v>
      </c>
      <c r="P85" t="s">
        <v>97</v>
      </c>
      <c r="Q85">
        <v>11.65589001</v>
      </c>
    </row>
    <row r="86" spans="1:17" x14ac:dyDescent="0.2">
      <c r="A86" t="s">
        <v>936</v>
      </c>
      <c r="B86">
        <v>0.119574212</v>
      </c>
      <c r="C86">
        <v>1995478314</v>
      </c>
      <c r="D86">
        <v>119728698.8</v>
      </c>
      <c r="E86">
        <v>23945739763</v>
      </c>
      <c r="F86" t="s">
        <v>33</v>
      </c>
      <c r="G86" t="s">
        <v>41</v>
      </c>
      <c r="H86" t="s">
        <v>16</v>
      </c>
      <c r="I86" t="s">
        <v>16</v>
      </c>
      <c r="J86" t="s">
        <v>16</v>
      </c>
      <c r="K86" t="s">
        <v>16</v>
      </c>
      <c r="L86" t="s">
        <v>27</v>
      </c>
      <c r="M86" t="str">
        <f t="shared" si="3"/>
        <v>challengedfree-ranging domestic</v>
      </c>
      <c r="N86" t="s">
        <v>28</v>
      </c>
      <c r="O86" t="s">
        <v>96</v>
      </c>
      <c r="P86" t="s">
        <v>97</v>
      </c>
      <c r="Q86">
        <v>119425694.3</v>
      </c>
    </row>
    <row r="87" spans="1:17" x14ac:dyDescent="0.2">
      <c r="A87" t="s">
        <v>105</v>
      </c>
      <c r="B87">
        <v>0.12978855</v>
      </c>
      <c r="C87">
        <v>5050074.5710000005</v>
      </c>
      <c r="D87">
        <v>303004.4742</v>
      </c>
      <c r="E87">
        <v>60600894.850000001</v>
      </c>
      <c r="F87" t="s">
        <v>17</v>
      </c>
      <c r="G87" t="s">
        <v>41</v>
      </c>
      <c r="H87" t="s">
        <v>16</v>
      </c>
      <c r="I87" t="s">
        <v>16</v>
      </c>
      <c r="J87" t="s">
        <v>16</v>
      </c>
      <c r="K87" t="s">
        <v>16</v>
      </c>
      <c r="L87" t="s">
        <v>27</v>
      </c>
      <c r="M87" t="str">
        <f t="shared" si="3"/>
        <v>challengedfree-ranging domestic</v>
      </c>
      <c r="N87" t="s">
        <v>28</v>
      </c>
      <c r="O87" t="s">
        <v>96</v>
      </c>
      <c r="P87" t="s">
        <v>97</v>
      </c>
      <c r="Q87">
        <v>303004.4742</v>
      </c>
    </row>
    <row r="88" spans="1:17" x14ac:dyDescent="0.2">
      <c r="A88" t="s">
        <v>106</v>
      </c>
      <c r="B88" t="s">
        <v>16</v>
      </c>
      <c r="C88" t="s">
        <v>16</v>
      </c>
      <c r="D88" t="s">
        <v>16</v>
      </c>
      <c r="E88" t="s">
        <v>16</v>
      </c>
      <c r="F88" t="s">
        <v>26</v>
      </c>
      <c r="G88" t="s">
        <v>26</v>
      </c>
      <c r="H88" t="s">
        <v>16</v>
      </c>
      <c r="I88" t="s">
        <v>16</v>
      </c>
      <c r="J88" t="s">
        <v>16</v>
      </c>
      <c r="K88" t="s">
        <v>16</v>
      </c>
      <c r="L88" t="s">
        <v>27</v>
      </c>
      <c r="M88" t="str">
        <f t="shared" si="3"/>
        <v>fecalfree-ranging domestic</v>
      </c>
      <c r="N88" t="s">
        <v>28</v>
      </c>
      <c r="O88" t="s">
        <v>96</v>
      </c>
      <c r="P88" t="s">
        <v>107</v>
      </c>
      <c r="Q88" t="s">
        <v>16</v>
      </c>
    </row>
    <row r="89" spans="1:17" x14ac:dyDescent="0.2">
      <c r="A89" t="s">
        <v>108</v>
      </c>
      <c r="B89">
        <v>0.12540261899999999</v>
      </c>
      <c r="C89">
        <v>8.7241040569999999</v>
      </c>
      <c r="D89">
        <v>0</v>
      </c>
      <c r="E89">
        <v>0</v>
      </c>
      <c r="F89" t="s">
        <v>19</v>
      </c>
      <c r="G89" t="s">
        <v>32</v>
      </c>
      <c r="H89" t="s">
        <v>16</v>
      </c>
      <c r="I89" t="s">
        <v>16</v>
      </c>
      <c r="J89" t="s">
        <v>16</v>
      </c>
      <c r="K89" t="s">
        <v>16</v>
      </c>
      <c r="L89" t="s">
        <v>27</v>
      </c>
      <c r="M89" t="str">
        <f t="shared" si="3"/>
        <v>abx_challengedfree-ranging domestic</v>
      </c>
      <c r="N89" t="s">
        <v>28</v>
      </c>
      <c r="O89" t="s">
        <v>96</v>
      </c>
      <c r="P89" t="s">
        <v>107</v>
      </c>
      <c r="Q89">
        <v>0</v>
      </c>
    </row>
    <row r="90" spans="1:17" x14ac:dyDescent="0.2">
      <c r="A90" t="s">
        <v>937</v>
      </c>
      <c r="B90">
        <v>0.14194875400000001</v>
      </c>
      <c r="C90">
        <v>18842629.170000002</v>
      </c>
      <c r="D90">
        <v>37685.25834</v>
      </c>
      <c r="E90">
        <v>7537051.6679999996</v>
      </c>
      <c r="F90" t="s">
        <v>33</v>
      </c>
      <c r="G90" t="s">
        <v>32</v>
      </c>
      <c r="H90" t="s">
        <v>16</v>
      </c>
      <c r="I90" t="s">
        <v>16</v>
      </c>
      <c r="J90" t="s">
        <v>16</v>
      </c>
      <c r="K90" t="s">
        <v>16</v>
      </c>
      <c r="L90" t="s">
        <v>27</v>
      </c>
      <c r="M90" t="str">
        <f t="shared" si="3"/>
        <v>abx_challengedfree-ranging domestic</v>
      </c>
      <c r="N90" t="s">
        <v>28</v>
      </c>
      <c r="O90" t="s">
        <v>96</v>
      </c>
      <c r="P90" t="s">
        <v>107</v>
      </c>
      <c r="Q90">
        <v>37685.25834</v>
      </c>
    </row>
    <row r="91" spans="1:17" x14ac:dyDescent="0.2">
      <c r="A91" t="s">
        <v>109</v>
      </c>
      <c r="B91">
        <v>0.28972229199999999</v>
      </c>
      <c r="C91">
        <v>6604523.4100000001</v>
      </c>
      <c r="D91">
        <v>39627.140460000002</v>
      </c>
      <c r="E91">
        <v>7925428.0920000002</v>
      </c>
      <c r="F91" t="s">
        <v>17</v>
      </c>
      <c r="G91" t="s">
        <v>32</v>
      </c>
      <c r="H91" t="s">
        <v>16</v>
      </c>
      <c r="I91" t="s">
        <v>16</v>
      </c>
      <c r="J91" t="s">
        <v>16</v>
      </c>
      <c r="K91" t="s">
        <v>16</v>
      </c>
      <c r="L91" t="s">
        <v>27</v>
      </c>
      <c r="M91" t="str">
        <f t="shared" si="3"/>
        <v>abx_challengedfree-ranging domestic</v>
      </c>
      <c r="N91" t="s">
        <v>28</v>
      </c>
      <c r="O91" t="s">
        <v>96</v>
      </c>
      <c r="P91" t="s">
        <v>107</v>
      </c>
      <c r="Q91">
        <v>39627.140460000002</v>
      </c>
    </row>
    <row r="92" spans="1:17" x14ac:dyDescent="0.2">
      <c r="A92" t="s">
        <v>110</v>
      </c>
      <c r="B92">
        <v>0</v>
      </c>
      <c r="C92" t="s">
        <v>16</v>
      </c>
      <c r="D92">
        <v>0</v>
      </c>
      <c r="E92">
        <v>0</v>
      </c>
      <c r="F92" t="s">
        <v>19</v>
      </c>
      <c r="G92" t="s">
        <v>36</v>
      </c>
      <c r="H92" t="s">
        <v>37</v>
      </c>
      <c r="I92">
        <v>7953.4318860000003</v>
      </c>
      <c r="J92" t="s">
        <v>37</v>
      </c>
      <c r="K92">
        <v>0</v>
      </c>
      <c r="L92" t="s">
        <v>27</v>
      </c>
      <c r="M92" t="str">
        <f t="shared" si="3"/>
        <v>controlfree-ranging domestic</v>
      </c>
      <c r="N92" t="s">
        <v>28</v>
      </c>
      <c r="O92" t="s">
        <v>96</v>
      </c>
      <c r="P92" t="s">
        <v>107</v>
      </c>
      <c r="Q92" t="s">
        <v>16</v>
      </c>
    </row>
    <row r="93" spans="1:17" x14ac:dyDescent="0.2">
      <c r="A93" t="s">
        <v>938</v>
      </c>
      <c r="B93">
        <v>0</v>
      </c>
      <c r="C93">
        <v>551242.55680000002</v>
      </c>
      <c r="D93">
        <v>3307.4553409999999</v>
      </c>
      <c r="E93">
        <v>661491.06810000003</v>
      </c>
      <c r="F93" t="s">
        <v>33</v>
      </c>
      <c r="G93" t="s">
        <v>36</v>
      </c>
      <c r="H93" t="s">
        <v>38</v>
      </c>
      <c r="I93">
        <v>23877844313</v>
      </c>
      <c r="J93" t="s">
        <v>38</v>
      </c>
      <c r="K93">
        <v>7537051.6679999996</v>
      </c>
      <c r="L93" t="s">
        <v>27</v>
      </c>
      <c r="M93" t="str">
        <f t="shared" si="3"/>
        <v>controlfree-ranging domestic</v>
      </c>
      <c r="N93" t="s">
        <v>28</v>
      </c>
      <c r="O93" t="s">
        <v>96</v>
      </c>
      <c r="P93" t="s">
        <v>107</v>
      </c>
      <c r="Q93" t="s">
        <v>16</v>
      </c>
    </row>
    <row r="94" spans="1:17" x14ac:dyDescent="0.2">
      <c r="A94" t="s">
        <v>111</v>
      </c>
      <c r="B94">
        <v>0</v>
      </c>
      <c r="C94" t="s">
        <v>16</v>
      </c>
      <c r="D94">
        <v>0</v>
      </c>
      <c r="E94">
        <v>0</v>
      </c>
      <c r="F94" t="s">
        <v>17</v>
      </c>
      <c r="G94" t="s">
        <v>36</v>
      </c>
      <c r="H94" t="s">
        <v>38</v>
      </c>
      <c r="I94">
        <v>121787917.40000001</v>
      </c>
      <c r="J94" t="s">
        <v>38</v>
      </c>
      <c r="K94">
        <v>7925428.0920000002</v>
      </c>
      <c r="L94" t="s">
        <v>27</v>
      </c>
      <c r="M94" t="str">
        <f t="shared" si="3"/>
        <v>controlfree-ranging domestic</v>
      </c>
      <c r="N94" t="s">
        <v>28</v>
      </c>
      <c r="O94" t="s">
        <v>96</v>
      </c>
      <c r="P94" t="s">
        <v>107</v>
      </c>
      <c r="Q94" t="s">
        <v>16</v>
      </c>
    </row>
    <row r="95" spans="1:17" x14ac:dyDescent="0.2">
      <c r="A95" t="s">
        <v>112</v>
      </c>
      <c r="B95">
        <v>0.12557028100000001</v>
      </c>
      <c r="C95">
        <v>286.32354789999999</v>
      </c>
      <c r="D95">
        <v>39.76715943</v>
      </c>
      <c r="E95">
        <v>7953.4318860000003</v>
      </c>
      <c r="F95" t="s">
        <v>19</v>
      </c>
      <c r="G95" t="s">
        <v>41</v>
      </c>
      <c r="H95" t="s">
        <v>16</v>
      </c>
      <c r="I95" t="s">
        <v>16</v>
      </c>
      <c r="J95" t="s">
        <v>16</v>
      </c>
      <c r="K95" t="s">
        <v>16</v>
      </c>
      <c r="L95" t="s">
        <v>27</v>
      </c>
      <c r="M95" t="str">
        <f t="shared" si="3"/>
        <v>challengedfree-ranging domestic</v>
      </c>
      <c r="N95" t="s">
        <v>28</v>
      </c>
      <c r="O95" t="s">
        <v>96</v>
      </c>
      <c r="P95" t="s">
        <v>107</v>
      </c>
      <c r="Q95">
        <v>39.76715943</v>
      </c>
    </row>
    <row r="96" spans="1:17" x14ac:dyDescent="0.2">
      <c r="A96" t="s">
        <v>939</v>
      </c>
      <c r="B96">
        <v>0.161935052</v>
      </c>
      <c r="C96">
        <v>1989820359</v>
      </c>
      <c r="D96">
        <v>119389221.59999999</v>
      </c>
      <c r="E96">
        <v>23877844313</v>
      </c>
      <c r="F96" t="s">
        <v>33</v>
      </c>
      <c r="G96" t="s">
        <v>41</v>
      </c>
      <c r="H96" t="s">
        <v>16</v>
      </c>
      <c r="I96" t="s">
        <v>16</v>
      </c>
      <c r="J96" t="s">
        <v>16</v>
      </c>
      <c r="K96" t="s">
        <v>16</v>
      </c>
      <c r="L96" t="s">
        <v>27</v>
      </c>
      <c r="M96" t="str">
        <f t="shared" si="3"/>
        <v>challengedfree-ranging domestic</v>
      </c>
      <c r="N96" t="s">
        <v>28</v>
      </c>
      <c r="O96" t="s">
        <v>96</v>
      </c>
      <c r="P96" t="s">
        <v>107</v>
      </c>
      <c r="Q96">
        <v>118780282</v>
      </c>
    </row>
    <row r="97" spans="1:17" x14ac:dyDescent="0.2">
      <c r="A97" t="s">
        <v>113</v>
      </c>
      <c r="B97">
        <v>8.7110695000000002E-2</v>
      </c>
      <c r="C97">
        <v>10148993.119999999</v>
      </c>
      <c r="D97">
        <v>608939.58719999995</v>
      </c>
      <c r="E97">
        <v>121787917.40000001</v>
      </c>
      <c r="F97" t="s">
        <v>17</v>
      </c>
      <c r="G97" t="s">
        <v>41</v>
      </c>
      <c r="H97" t="s">
        <v>16</v>
      </c>
      <c r="I97" t="s">
        <v>16</v>
      </c>
      <c r="J97" t="s">
        <v>16</v>
      </c>
      <c r="K97" t="s">
        <v>16</v>
      </c>
      <c r="L97" t="s">
        <v>27</v>
      </c>
      <c r="M97" t="str">
        <f t="shared" si="3"/>
        <v>challengedfree-ranging domestic</v>
      </c>
      <c r="N97" t="s">
        <v>28</v>
      </c>
      <c r="O97" t="s">
        <v>96</v>
      </c>
      <c r="P97" t="s">
        <v>107</v>
      </c>
      <c r="Q97">
        <v>608939.58719999995</v>
      </c>
    </row>
    <row r="98" spans="1:17" x14ac:dyDescent="0.2">
      <c r="A98" t="s">
        <v>114</v>
      </c>
      <c r="B98" t="s">
        <v>16</v>
      </c>
      <c r="C98" t="s">
        <v>16</v>
      </c>
      <c r="D98" t="s">
        <v>16</v>
      </c>
      <c r="E98" t="s">
        <v>16</v>
      </c>
      <c r="F98" t="s">
        <v>26</v>
      </c>
      <c r="G98" t="s">
        <v>26</v>
      </c>
      <c r="H98" t="s">
        <v>16</v>
      </c>
      <c r="I98" t="s">
        <v>16</v>
      </c>
      <c r="J98" t="s">
        <v>16</v>
      </c>
      <c r="K98" t="s">
        <v>16</v>
      </c>
      <c r="L98" t="s">
        <v>27</v>
      </c>
      <c r="M98" t="str">
        <f t="shared" si="3"/>
        <v>fecalfree-ranging domestic</v>
      </c>
      <c r="N98" t="s">
        <v>28</v>
      </c>
      <c r="O98" t="s">
        <v>96</v>
      </c>
      <c r="P98" t="s">
        <v>115</v>
      </c>
      <c r="Q98" t="s">
        <v>16</v>
      </c>
    </row>
    <row r="99" spans="1:17" x14ac:dyDescent="0.2">
      <c r="A99" t="s">
        <v>116</v>
      </c>
      <c r="B99">
        <v>0.13291460699999999</v>
      </c>
      <c r="C99">
        <v>92.170813420000002</v>
      </c>
      <c r="D99">
        <v>8.5343345759999991</v>
      </c>
      <c r="E99">
        <v>1706.8669150000001</v>
      </c>
      <c r="F99" t="s">
        <v>19</v>
      </c>
      <c r="G99" t="s">
        <v>32</v>
      </c>
      <c r="H99" t="s">
        <v>16</v>
      </c>
      <c r="I99" t="s">
        <v>16</v>
      </c>
      <c r="J99" t="s">
        <v>16</v>
      </c>
      <c r="K99" t="s">
        <v>16</v>
      </c>
      <c r="L99" t="s">
        <v>27</v>
      </c>
      <c r="M99" t="str">
        <f t="shared" si="3"/>
        <v>abx_challengedfree-ranging domestic</v>
      </c>
      <c r="N99" t="s">
        <v>28</v>
      </c>
      <c r="O99" t="s">
        <v>96</v>
      </c>
      <c r="P99" t="s">
        <v>115</v>
      </c>
      <c r="Q99">
        <v>8.5343345759999991</v>
      </c>
    </row>
    <row r="100" spans="1:17" x14ac:dyDescent="0.2">
      <c r="A100" t="s">
        <v>940</v>
      </c>
      <c r="B100">
        <v>4.5450840999999999E-2</v>
      </c>
      <c r="C100">
        <v>43629797.240000002</v>
      </c>
      <c r="D100">
        <v>87259.59448</v>
      </c>
      <c r="E100">
        <v>17451918.899999999</v>
      </c>
      <c r="F100" t="s">
        <v>33</v>
      </c>
      <c r="G100" t="s">
        <v>32</v>
      </c>
      <c r="H100" t="s">
        <v>16</v>
      </c>
      <c r="I100" t="s">
        <v>16</v>
      </c>
      <c r="J100" t="s">
        <v>16</v>
      </c>
      <c r="K100" t="s">
        <v>16</v>
      </c>
      <c r="L100" t="s">
        <v>27</v>
      </c>
      <c r="M100" t="str">
        <f t="shared" si="3"/>
        <v>abx_challengedfree-ranging domestic</v>
      </c>
      <c r="N100" t="s">
        <v>28</v>
      </c>
      <c r="O100" t="s">
        <v>96</v>
      </c>
      <c r="P100" t="s">
        <v>115</v>
      </c>
      <c r="Q100">
        <v>87259.59448</v>
      </c>
    </row>
    <row r="101" spans="1:17" x14ac:dyDescent="0.2">
      <c r="A101" t="s">
        <v>117</v>
      </c>
      <c r="B101">
        <v>0.110074731</v>
      </c>
      <c r="C101">
        <v>621069.85219999996</v>
      </c>
      <c r="D101">
        <v>3726.4191129999999</v>
      </c>
      <c r="E101">
        <v>745283.82259999996</v>
      </c>
      <c r="F101" t="s">
        <v>17</v>
      </c>
      <c r="G101" t="s">
        <v>32</v>
      </c>
      <c r="H101" t="s">
        <v>16</v>
      </c>
      <c r="I101" t="s">
        <v>16</v>
      </c>
      <c r="J101" t="s">
        <v>16</v>
      </c>
      <c r="K101" t="s">
        <v>16</v>
      </c>
      <c r="L101" t="s">
        <v>27</v>
      </c>
      <c r="M101" t="str">
        <f t="shared" si="3"/>
        <v>abx_challengedfree-ranging domestic</v>
      </c>
      <c r="N101" t="s">
        <v>28</v>
      </c>
      <c r="O101" t="s">
        <v>96</v>
      </c>
      <c r="P101" t="s">
        <v>115</v>
      </c>
      <c r="Q101">
        <v>3726.4191129999999</v>
      </c>
    </row>
    <row r="102" spans="1:17" x14ac:dyDescent="0.2">
      <c r="A102" t="s">
        <v>118</v>
      </c>
      <c r="B102">
        <v>0</v>
      </c>
      <c r="C102" t="s">
        <v>16</v>
      </c>
      <c r="D102">
        <v>0</v>
      </c>
      <c r="E102">
        <v>0</v>
      </c>
      <c r="F102" t="s">
        <v>19</v>
      </c>
      <c r="G102" t="s">
        <v>36</v>
      </c>
      <c r="H102" t="s">
        <v>37</v>
      </c>
      <c r="I102">
        <v>3917.9887020000001</v>
      </c>
      <c r="J102" t="s">
        <v>37</v>
      </c>
      <c r="K102">
        <v>1706.8669150000001</v>
      </c>
      <c r="L102" t="s">
        <v>27</v>
      </c>
      <c r="M102" t="str">
        <f t="shared" si="3"/>
        <v>controlfree-ranging domestic</v>
      </c>
      <c r="N102" t="s">
        <v>28</v>
      </c>
      <c r="O102" t="s">
        <v>96</v>
      </c>
      <c r="P102" t="s">
        <v>115</v>
      </c>
      <c r="Q102" t="s">
        <v>16</v>
      </c>
    </row>
    <row r="103" spans="1:17" x14ac:dyDescent="0.2">
      <c r="A103" t="s">
        <v>941</v>
      </c>
      <c r="B103">
        <v>0</v>
      </c>
      <c r="C103">
        <v>303784821.30000001</v>
      </c>
      <c r="D103">
        <v>1822708.9280000001</v>
      </c>
      <c r="E103">
        <v>364541785.5</v>
      </c>
      <c r="F103" t="s">
        <v>33</v>
      </c>
      <c r="G103" t="s">
        <v>36</v>
      </c>
      <c r="H103" t="s">
        <v>38</v>
      </c>
      <c r="I103">
        <v>1888754831</v>
      </c>
      <c r="J103" t="s">
        <v>38</v>
      </c>
      <c r="K103">
        <v>17451918.899999999</v>
      </c>
      <c r="L103" t="s">
        <v>27</v>
      </c>
      <c r="M103" t="str">
        <f t="shared" si="3"/>
        <v>controlfree-ranging domestic</v>
      </c>
      <c r="N103" t="s">
        <v>28</v>
      </c>
      <c r="O103" t="s">
        <v>96</v>
      </c>
      <c r="P103" t="s">
        <v>115</v>
      </c>
      <c r="Q103" t="s">
        <v>16</v>
      </c>
    </row>
    <row r="104" spans="1:17" x14ac:dyDescent="0.2">
      <c r="A104" t="s">
        <v>119</v>
      </c>
      <c r="B104">
        <v>0</v>
      </c>
      <c r="C104" t="s">
        <v>16</v>
      </c>
      <c r="D104">
        <v>0</v>
      </c>
      <c r="E104">
        <v>0</v>
      </c>
      <c r="F104" t="s">
        <v>17</v>
      </c>
      <c r="G104" t="s">
        <v>36</v>
      </c>
      <c r="H104" t="s">
        <v>38</v>
      </c>
      <c r="I104">
        <v>106171116.40000001</v>
      </c>
      <c r="J104" t="s">
        <v>37</v>
      </c>
      <c r="K104">
        <v>745283.82259999996</v>
      </c>
      <c r="L104" t="s">
        <v>27</v>
      </c>
      <c r="M104" t="str">
        <f t="shared" si="3"/>
        <v>controlfree-ranging domestic</v>
      </c>
      <c r="N104" t="s">
        <v>28</v>
      </c>
      <c r="O104" t="s">
        <v>96</v>
      </c>
      <c r="P104" t="s">
        <v>115</v>
      </c>
      <c r="Q104" t="s">
        <v>16</v>
      </c>
    </row>
    <row r="105" spans="1:17" x14ac:dyDescent="0.2">
      <c r="A105" t="s">
        <v>120</v>
      </c>
      <c r="B105">
        <v>0.12265822999999999</v>
      </c>
      <c r="C105">
        <v>211.57139000000001</v>
      </c>
      <c r="D105">
        <v>19.589943510000001</v>
      </c>
      <c r="E105">
        <v>3917.9887020000001</v>
      </c>
      <c r="F105" t="s">
        <v>19</v>
      </c>
      <c r="G105" t="s">
        <v>41</v>
      </c>
      <c r="H105" t="s">
        <v>16</v>
      </c>
      <c r="I105" t="s">
        <v>16</v>
      </c>
      <c r="J105" t="s">
        <v>16</v>
      </c>
      <c r="K105" t="s">
        <v>16</v>
      </c>
      <c r="L105" t="s">
        <v>27</v>
      </c>
      <c r="M105" t="str">
        <f t="shared" si="3"/>
        <v>challengedfree-ranging domestic</v>
      </c>
      <c r="N105" t="s">
        <v>28</v>
      </c>
      <c r="O105" t="s">
        <v>96</v>
      </c>
      <c r="P105" t="s">
        <v>115</v>
      </c>
      <c r="Q105">
        <v>19.589943510000001</v>
      </c>
    </row>
    <row r="106" spans="1:17" x14ac:dyDescent="0.2">
      <c r="A106" t="s">
        <v>942</v>
      </c>
      <c r="B106">
        <v>0.115572152</v>
      </c>
      <c r="C106">
        <v>157396235.90000001</v>
      </c>
      <c r="D106">
        <v>9443774.1530000009</v>
      </c>
      <c r="E106">
        <v>1888754831</v>
      </c>
      <c r="F106" t="s">
        <v>33</v>
      </c>
      <c r="G106" t="s">
        <v>41</v>
      </c>
      <c r="H106" t="s">
        <v>16</v>
      </c>
      <c r="I106" t="s">
        <v>16</v>
      </c>
      <c r="J106" t="s">
        <v>16</v>
      </c>
      <c r="K106" t="s">
        <v>16</v>
      </c>
      <c r="L106" t="s">
        <v>27</v>
      </c>
      <c r="M106" t="str">
        <f t="shared" si="3"/>
        <v>challengedfree-ranging domestic</v>
      </c>
      <c r="N106" t="s">
        <v>28</v>
      </c>
      <c r="O106" t="s">
        <v>96</v>
      </c>
      <c r="P106" t="s">
        <v>115</v>
      </c>
      <c r="Q106">
        <v>8912918.5710000005</v>
      </c>
    </row>
    <row r="107" spans="1:17" x14ac:dyDescent="0.2">
      <c r="A107" t="s">
        <v>121</v>
      </c>
      <c r="B107">
        <v>7.5638869999999997E-2</v>
      </c>
      <c r="C107">
        <v>8847593.034</v>
      </c>
      <c r="D107">
        <v>530855.58200000005</v>
      </c>
      <c r="E107">
        <v>106171116.40000001</v>
      </c>
      <c r="F107" t="s">
        <v>17</v>
      </c>
      <c r="G107" t="s">
        <v>41</v>
      </c>
      <c r="H107" t="s">
        <v>16</v>
      </c>
      <c r="I107" t="s">
        <v>16</v>
      </c>
      <c r="J107" t="s">
        <v>16</v>
      </c>
      <c r="K107" t="s">
        <v>16</v>
      </c>
      <c r="L107" t="s">
        <v>27</v>
      </c>
      <c r="M107" t="str">
        <f t="shared" si="3"/>
        <v>challengedfree-ranging domestic</v>
      </c>
      <c r="N107" t="s">
        <v>28</v>
      </c>
      <c r="O107" t="s">
        <v>96</v>
      </c>
      <c r="P107" t="s">
        <v>115</v>
      </c>
      <c r="Q107">
        <v>530855.58200000005</v>
      </c>
    </row>
    <row r="108" spans="1:17" x14ac:dyDescent="0.2">
      <c r="A108" t="s">
        <v>122</v>
      </c>
      <c r="B108" t="s">
        <v>16</v>
      </c>
      <c r="C108" t="s">
        <v>16</v>
      </c>
      <c r="D108">
        <v>0</v>
      </c>
      <c r="E108">
        <v>0</v>
      </c>
      <c r="F108" t="s">
        <v>19</v>
      </c>
      <c r="G108" t="s">
        <v>91</v>
      </c>
      <c r="H108" t="s">
        <v>16</v>
      </c>
      <c r="I108" t="s">
        <v>16</v>
      </c>
      <c r="J108" t="s">
        <v>16</v>
      </c>
      <c r="K108" t="s">
        <v>16</v>
      </c>
      <c r="L108" t="s">
        <v>27</v>
      </c>
      <c r="M108" t="str">
        <f t="shared" si="3"/>
        <v>ABXfree-ranging domestic</v>
      </c>
      <c r="N108" t="s">
        <v>28</v>
      </c>
      <c r="O108" t="s">
        <v>96</v>
      </c>
      <c r="P108" t="s">
        <v>123</v>
      </c>
      <c r="Q108">
        <v>0</v>
      </c>
    </row>
    <row r="109" spans="1:17" x14ac:dyDescent="0.2">
      <c r="A109" t="s">
        <v>124</v>
      </c>
      <c r="B109">
        <v>0.117692902</v>
      </c>
      <c r="C109">
        <v>20.478855899999999</v>
      </c>
      <c r="D109">
        <v>0</v>
      </c>
      <c r="E109">
        <v>0</v>
      </c>
      <c r="F109" t="s">
        <v>19</v>
      </c>
      <c r="G109" t="s">
        <v>32</v>
      </c>
      <c r="H109" t="s">
        <v>16</v>
      </c>
      <c r="I109" t="s">
        <v>16</v>
      </c>
      <c r="J109" t="s">
        <v>16</v>
      </c>
      <c r="K109" t="s">
        <v>16</v>
      </c>
      <c r="L109" t="s">
        <v>27</v>
      </c>
      <c r="M109" t="str">
        <f t="shared" si="3"/>
        <v>abx_challengedfree-ranging domestic</v>
      </c>
      <c r="N109" t="s">
        <v>28</v>
      </c>
      <c r="O109" t="s">
        <v>96</v>
      </c>
      <c r="P109" t="s">
        <v>123</v>
      </c>
      <c r="Q109">
        <v>0</v>
      </c>
    </row>
    <row r="110" spans="1:17" x14ac:dyDescent="0.2">
      <c r="A110" t="s">
        <v>943</v>
      </c>
      <c r="B110">
        <v>0.11985364699999999</v>
      </c>
      <c r="C110">
        <v>30841132.379999999</v>
      </c>
      <c r="D110">
        <v>61682.264759999998</v>
      </c>
      <c r="E110">
        <v>12336452.949999999</v>
      </c>
      <c r="F110" t="s">
        <v>33</v>
      </c>
      <c r="G110" t="s">
        <v>32</v>
      </c>
      <c r="H110" t="s">
        <v>16</v>
      </c>
      <c r="I110" t="s">
        <v>16</v>
      </c>
      <c r="J110" t="s">
        <v>16</v>
      </c>
      <c r="K110" t="s">
        <v>16</v>
      </c>
      <c r="L110" t="s">
        <v>27</v>
      </c>
      <c r="M110" t="str">
        <f t="shared" si="3"/>
        <v>abx_challengedfree-ranging domestic</v>
      </c>
      <c r="N110" t="s">
        <v>28</v>
      </c>
      <c r="O110" t="s">
        <v>96</v>
      </c>
      <c r="P110" t="s">
        <v>123</v>
      </c>
      <c r="Q110">
        <v>61682.264759999998</v>
      </c>
    </row>
    <row r="111" spans="1:17" x14ac:dyDescent="0.2">
      <c r="A111" t="s">
        <v>125</v>
      </c>
      <c r="B111">
        <v>0.273416308</v>
      </c>
      <c r="C111">
        <v>5439678.7999999998</v>
      </c>
      <c r="D111">
        <v>32638.072800000002</v>
      </c>
      <c r="E111">
        <v>6527614.5599999996</v>
      </c>
      <c r="F111" t="s">
        <v>17</v>
      </c>
      <c r="G111" t="s">
        <v>32</v>
      </c>
      <c r="H111" t="s">
        <v>16</v>
      </c>
      <c r="I111" t="s">
        <v>16</v>
      </c>
      <c r="J111" t="s">
        <v>16</v>
      </c>
      <c r="K111" t="s">
        <v>16</v>
      </c>
      <c r="L111" t="s">
        <v>27</v>
      </c>
      <c r="M111" t="str">
        <f t="shared" si="3"/>
        <v>abx_challengedfree-ranging domestic</v>
      </c>
      <c r="N111" t="s">
        <v>28</v>
      </c>
      <c r="O111" t="s">
        <v>96</v>
      </c>
      <c r="P111" t="s">
        <v>123</v>
      </c>
      <c r="Q111">
        <v>32638.072800000002</v>
      </c>
    </row>
    <row r="112" spans="1:17" x14ac:dyDescent="0.2">
      <c r="A112" t="s">
        <v>126</v>
      </c>
      <c r="B112">
        <v>0</v>
      </c>
      <c r="C112" t="s">
        <v>16</v>
      </c>
      <c r="D112">
        <v>0</v>
      </c>
      <c r="E112">
        <v>0</v>
      </c>
      <c r="F112" t="s">
        <v>19</v>
      </c>
      <c r="G112" t="s">
        <v>36</v>
      </c>
      <c r="H112" t="s">
        <v>37</v>
      </c>
      <c r="I112">
        <v>0</v>
      </c>
      <c r="J112" t="s">
        <v>37</v>
      </c>
      <c r="K112">
        <v>0</v>
      </c>
      <c r="L112" t="s">
        <v>27</v>
      </c>
      <c r="M112" t="str">
        <f t="shared" si="3"/>
        <v>controlfree-ranging domestic</v>
      </c>
      <c r="N112" t="s">
        <v>28</v>
      </c>
      <c r="O112" t="s">
        <v>96</v>
      </c>
      <c r="P112" t="s">
        <v>123</v>
      </c>
      <c r="Q112" t="s">
        <v>16</v>
      </c>
    </row>
    <row r="113" spans="1:17" x14ac:dyDescent="0.2">
      <c r="A113" t="s">
        <v>944</v>
      </c>
      <c r="B113">
        <v>0</v>
      </c>
      <c r="C113">
        <v>302845952</v>
      </c>
      <c r="D113">
        <v>1817075.7120000001</v>
      </c>
      <c r="E113">
        <v>363415142.39999998</v>
      </c>
      <c r="F113" t="s">
        <v>33</v>
      </c>
      <c r="G113" t="s">
        <v>36</v>
      </c>
      <c r="H113" t="s">
        <v>38</v>
      </c>
      <c r="I113">
        <v>31899610552</v>
      </c>
      <c r="J113" t="s">
        <v>38</v>
      </c>
      <c r="K113">
        <v>12336452.949999999</v>
      </c>
      <c r="L113" t="s">
        <v>27</v>
      </c>
      <c r="M113" t="str">
        <f t="shared" si="3"/>
        <v>controlfree-ranging domestic</v>
      </c>
      <c r="N113" t="s">
        <v>28</v>
      </c>
      <c r="O113" t="s">
        <v>96</v>
      </c>
      <c r="P113" t="s">
        <v>123</v>
      </c>
      <c r="Q113" t="s">
        <v>16</v>
      </c>
    </row>
    <row r="114" spans="1:17" x14ac:dyDescent="0.2">
      <c r="A114" t="s">
        <v>127</v>
      </c>
      <c r="B114">
        <v>0</v>
      </c>
      <c r="C114" t="s">
        <v>16</v>
      </c>
      <c r="D114">
        <v>0</v>
      </c>
      <c r="E114">
        <v>0</v>
      </c>
      <c r="F114" t="s">
        <v>17</v>
      </c>
      <c r="G114" t="s">
        <v>36</v>
      </c>
      <c r="H114" t="s">
        <v>38</v>
      </c>
      <c r="I114">
        <v>120858608.40000001</v>
      </c>
      <c r="J114" t="s">
        <v>38</v>
      </c>
      <c r="K114">
        <v>6527614.5599999996</v>
      </c>
      <c r="L114" t="s">
        <v>27</v>
      </c>
      <c r="M114" t="str">
        <f t="shared" si="3"/>
        <v>controlfree-ranging domestic</v>
      </c>
      <c r="N114" t="s">
        <v>28</v>
      </c>
      <c r="O114" t="s">
        <v>96</v>
      </c>
      <c r="P114" t="s">
        <v>123</v>
      </c>
      <c r="Q114" t="s">
        <v>16</v>
      </c>
    </row>
    <row r="115" spans="1:17" x14ac:dyDescent="0.2">
      <c r="A115" t="s">
        <v>945</v>
      </c>
      <c r="B115">
        <v>2.4773641999999998E-2</v>
      </c>
      <c r="C115">
        <v>2658300879</v>
      </c>
      <c r="D115">
        <v>159498052.80000001</v>
      </c>
      <c r="E115">
        <v>31899610552</v>
      </c>
      <c r="F115" t="s">
        <v>33</v>
      </c>
      <c r="G115" t="s">
        <v>41</v>
      </c>
      <c r="H115" t="s">
        <v>16</v>
      </c>
      <c r="I115" t="s">
        <v>16</v>
      </c>
      <c r="J115" t="s">
        <v>16</v>
      </c>
      <c r="K115" t="s">
        <v>16</v>
      </c>
      <c r="L115" t="s">
        <v>27</v>
      </c>
      <c r="M115" t="str">
        <f t="shared" si="3"/>
        <v>challengedfree-ranging domestic</v>
      </c>
      <c r="N115" t="s">
        <v>28</v>
      </c>
      <c r="O115" t="s">
        <v>96</v>
      </c>
      <c r="P115" t="s">
        <v>123</v>
      </c>
      <c r="Q115">
        <v>158893759.69999999</v>
      </c>
    </row>
    <row r="116" spans="1:17" x14ac:dyDescent="0.2">
      <c r="A116" t="s">
        <v>128</v>
      </c>
      <c r="B116">
        <v>0.11464157</v>
      </c>
      <c r="C116">
        <v>10071550.699999999</v>
      </c>
      <c r="D116">
        <v>604293.04220000003</v>
      </c>
      <c r="E116">
        <v>120858608.40000001</v>
      </c>
      <c r="F116" t="s">
        <v>17</v>
      </c>
      <c r="G116" t="s">
        <v>41</v>
      </c>
      <c r="H116" t="s">
        <v>16</v>
      </c>
      <c r="I116" t="s">
        <v>16</v>
      </c>
      <c r="J116" t="s">
        <v>16</v>
      </c>
      <c r="K116" t="s">
        <v>16</v>
      </c>
      <c r="L116" t="s">
        <v>27</v>
      </c>
      <c r="M116" t="str">
        <f t="shared" si="3"/>
        <v>challengedfree-ranging domestic</v>
      </c>
      <c r="N116" t="s">
        <v>28</v>
      </c>
      <c r="O116" t="s">
        <v>96</v>
      </c>
      <c r="P116" t="s">
        <v>123</v>
      </c>
      <c r="Q116">
        <v>604293.04220000003</v>
      </c>
    </row>
    <row r="117" spans="1:17" x14ac:dyDescent="0.2">
      <c r="A117" t="s">
        <v>129</v>
      </c>
      <c r="B117" t="s">
        <v>16</v>
      </c>
      <c r="C117" t="s">
        <v>16</v>
      </c>
      <c r="D117" t="s">
        <v>16</v>
      </c>
      <c r="E117" t="s">
        <v>16</v>
      </c>
      <c r="F117" t="s">
        <v>26</v>
      </c>
      <c r="G117" t="s">
        <v>26</v>
      </c>
      <c r="H117" t="s">
        <v>16</v>
      </c>
      <c r="I117" t="s">
        <v>16</v>
      </c>
      <c r="J117" t="s">
        <v>16</v>
      </c>
      <c r="K117" t="s">
        <v>16</v>
      </c>
      <c r="L117" t="s">
        <v>27</v>
      </c>
      <c r="M117" t="str">
        <f t="shared" si="3"/>
        <v>fecalfree-ranging domestic</v>
      </c>
      <c r="N117" t="s">
        <v>28</v>
      </c>
      <c r="O117" t="s">
        <v>130</v>
      </c>
      <c r="P117" t="s">
        <v>131</v>
      </c>
      <c r="Q117" t="s">
        <v>16</v>
      </c>
    </row>
    <row r="118" spans="1:17" x14ac:dyDescent="0.2">
      <c r="A118" t="s">
        <v>132</v>
      </c>
      <c r="B118">
        <v>0.107738945</v>
      </c>
      <c r="C118" t="s">
        <v>16</v>
      </c>
      <c r="D118">
        <v>0</v>
      </c>
      <c r="E118">
        <v>0</v>
      </c>
      <c r="F118" t="s">
        <v>19</v>
      </c>
      <c r="G118" t="s">
        <v>32</v>
      </c>
      <c r="H118" t="s">
        <v>16</v>
      </c>
      <c r="I118" t="s">
        <v>16</v>
      </c>
      <c r="J118" t="s">
        <v>16</v>
      </c>
      <c r="K118" t="s">
        <v>16</v>
      </c>
      <c r="L118" t="s">
        <v>27</v>
      </c>
      <c r="M118" t="str">
        <f t="shared" si="3"/>
        <v>abx_challengedfree-ranging domestic</v>
      </c>
      <c r="N118" t="s">
        <v>28</v>
      </c>
      <c r="O118" t="s">
        <v>130</v>
      </c>
      <c r="P118" t="s">
        <v>131</v>
      </c>
      <c r="Q118">
        <v>0</v>
      </c>
    </row>
    <row r="119" spans="1:17" x14ac:dyDescent="0.2">
      <c r="A119" t="s">
        <v>946</v>
      </c>
      <c r="B119">
        <v>0.115215227</v>
      </c>
      <c r="C119">
        <v>33483005.969999999</v>
      </c>
      <c r="D119">
        <v>66966.011939999997</v>
      </c>
      <c r="E119">
        <v>13393202.390000001</v>
      </c>
      <c r="F119" t="s">
        <v>33</v>
      </c>
      <c r="G119" t="s">
        <v>32</v>
      </c>
      <c r="H119" t="s">
        <v>16</v>
      </c>
      <c r="I119" t="s">
        <v>16</v>
      </c>
      <c r="J119" t="s">
        <v>16</v>
      </c>
      <c r="K119" t="s">
        <v>16</v>
      </c>
      <c r="L119" t="s">
        <v>27</v>
      </c>
      <c r="M119" t="str">
        <f t="shared" si="3"/>
        <v>abx_challengedfree-ranging domestic</v>
      </c>
      <c r="N119" t="s">
        <v>28</v>
      </c>
      <c r="O119" t="s">
        <v>130</v>
      </c>
      <c r="P119" t="s">
        <v>131</v>
      </c>
      <c r="Q119">
        <v>66966.011939999997</v>
      </c>
    </row>
    <row r="120" spans="1:17" x14ac:dyDescent="0.2">
      <c r="A120" t="s">
        <v>133</v>
      </c>
      <c r="B120">
        <v>0.19290203</v>
      </c>
      <c r="C120">
        <v>1045468.936</v>
      </c>
      <c r="D120">
        <v>6272.8136160000004</v>
      </c>
      <c r="E120">
        <v>1254562.723</v>
      </c>
      <c r="F120" t="s">
        <v>17</v>
      </c>
      <c r="G120" t="s">
        <v>32</v>
      </c>
      <c r="H120" t="s">
        <v>16</v>
      </c>
      <c r="I120" t="s">
        <v>16</v>
      </c>
      <c r="J120" t="s">
        <v>16</v>
      </c>
      <c r="K120" t="s">
        <v>16</v>
      </c>
      <c r="L120" t="s">
        <v>27</v>
      </c>
      <c r="M120" t="str">
        <f t="shared" si="3"/>
        <v>abx_challengedfree-ranging domestic</v>
      </c>
      <c r="N120" t="s">
        <v>28</v>
      </c>
      <c r="O120" t="s">
        <v>130</v>
      </c>
      <c r="P120" t="s">
        <v>131</v>
      </c>
      <c r="Q120">
        <v>6272.8136160000004</v>
      </c>
    </row>
    <row r="121" spans="1:17" x14ac:dyDescent="0.2">
      <c r="A121" t="s">
        <v>134</v>
      </c>
      <c r="B121">
        <v>0</v>
      </c>
      <c r="C121" t="s">
        <v>16</v>
      </c>
      <c r="D121">
        <v>0</v>
      </c>
      <c r="E121">
        <v>0</v>
      </c>
      <c r="F121" t="s">
        <v>19</v>
      </c>
      <c r="G121" t="s">
        <v>36</v>
      </c>
      <c r="H121" t="s">
        <v>37</v>
      </c>
      <c r="I121">
        <v>0</v>
      </c>
      <c r="J121" t="s">
        <v>37</v>
      </c>
      <c r="K121">
        <v>0</v>
      </c>
      <c r="L121" t="s">
        <v>27</v>
      </c>
      <c r="M121" t="str">
        <f t="shared" si="3"/>
        <v>controlfree-ranging domestic</v>
      </c>
      <c r="N121" t="s">
        <v>28</v>
      </c>
      <c r="O121" t="s">
        <v>130</v>
      </c>
      <c r="P121" t="s">
        <v>131</v>
      </c>
      <c r="Q121" t="s">
        <v>16</v>
      </c>
    </row>
    <row r="122" spans="1:17" x14ac:dyDescent="0.2">
      <c r="A122" t="s">
        <v>947</v>
      </c>
      <c r="B122">
        <v>0</v>
      </c>
      <c r="C122">
        <v>14116247.52</v>
      </c>
      <c r="D122">
        <v>84697.485109999994</v>
      </c>
      <c r="E122">
        <v>16939497.02</v>
      </c>
      <c r="F122" t="s">
        <v>33</v>
      </c>
      <c r="G122" t="s">
        <v>36</v>
      </c>
      <c r="H122" t="s">
        <v>38</v>
      </c>
      <c r="I122">
        <v>1743179055</v>
      </c>
      <c r="J122" t="s">
        <v>38</v>
      </c>
      <c r="K122">
        <v>13393202.390000001</v>
      </c>
      <c r="L122" t="s">
        <v>27</v>
      </c>
      <c r="M122" t="str">
        <f t="shared" si="3"/>
        <v>controlfree-ranging domestic</v>
      </c>
      <c r="N122" t="s">
        <v>28</v>
      </c>
      <c r="O122" t="s">
        <v>130</v>
      </c>
      <c r="P122" t="s">
        <v>131</v>
      </c>
      <c r="Q122" t="s">
        <v>16</v>
      </c>
    </row>
    <row r="123" spans="1:17" x14ac:dyDescent="0.2">
      <c r="A123" t="s">
        <v>135</v>
      </c>
      <c r="B123">
        <v>0</v>
      </c>
      <c r="C123" t="s">
        <v>16</v>
      </c>
      <c r="D123">
        <v>0</v>
      </c>
      <c r="E123">
        <v>0</v>
      </c>
      <c r="F123" t="s">
        <v>17</v>
      </c>
      <c r="G123" t="s">
        <v>36</v>
      </c>
      <c r="H123" t="s">
        <v>38</v>
      </c>
      <c r="I123">
        <v>170438234.30000001</v>
      </c>
      <c r="J123" t="s">
        <v>38</v>
      </c>
      <c r="K123">
        <v>1254562.723</v>
      </c>
      <c r="L123" t="s">
        <v>27</v>
      </c>
      <c r="M123" t="str">
        <f t="shared" si="3"/>
        <v>controlfree-ranging domestic</v>
      </c>
      <c r="N123" t="s">
        <v>28</v>
      </c>
      <c r="O123" t="s">
        <v>130</v>
      </c>
      <c r="P123" t="s">
        <v>131</v>
      </c>
      <c r="Q123" t="s">
        <v>16</v>
      </c>
    </row>
    <row r="124" spans="1:17" x14ac:dyDescent="0.2">
      <c r="A124" t="s">
        <v>136</v>
      </c>
      <c r="B124">
        <v>7.0421949999999997E-2</v>
      </c>
      <c r="C124">
        <v>5.4228699029999996</v>
      </c>
      <c r="D124">
        <v>0</v>
      </c>
      <c r="E124">
        <v>0</v>
      </c>
      <c r="F124" t="s">
        <v>19</v>
      </c>
      <c r="G124" t="s">
        <v>41</v>
      </c>
      <c r="H124" t="s">
        <v>16</v>
      </c>
      <c r="I124" t="s">
        <v>16</v>
      </c>
      <c r="J124" t="s">
        <v>16</v>
      </c>
      <c r="K124" t="s">
        <v>16</v>
      </c>
      <c r="L124" t="s">
        <v>27</v>
      </c>
      <c r="M124" t="str">
        <f t="shared" si="3"/>
        <v>challengedfree-ranging domestic</v>
      </c>
      <c r="N124" t="s">
        <v>28</v>
      </c>
      <c r="O124" t="s">
        <v>130</v>
      </c>
      <c r="P124" t="s">
        <v>131</v>
      </c>
      <c r="Q124">
        <v>0</v>
      </c>
    </row>
    <row r="125" spans="1:17" x14ac:dyDescent="0.2">
      <c r="A125" t="s">
        <v>948</v>
      </c>
      <c r="B125">
        <v>4.5826466000000003E-2</v>
      </c>
      <c r="C125">
        <v>145264921.19999999</v>
      </c>
      <c r="D125">
        <v>8715895.273</v>
      </c>
      <c r="E125">
        <v>1743179055</v>
      </c>
      <c r="F125" t="s">
        <v>33</v>
      </c>
      <c r="G125" t="s">
        <v>41</v>
      </c>
      <c r="H125" t="s">
        <v>16</v>
      </c>
      <c r="I125" t="s">
        <v>16</v>
      </c>
      <c r="J125" t="s">
        <v>16</v>
      </c>
      <c r="K125" t="s">
        <v>16</v>
      </c>
      <c r="L125" t="s">
        <v>27</v>
      </c>
      <c r="M125" t="str">
        <f t="shared" si="3"/>
        <v>challengedfree-ranging domestic</v>
      </c>
      <c r="N125" t="s">
        <v>28</v>
      </c>
      <c r="O125" t="s">
        <v>130</v>
      </c>
      <c r="P125" t="s">
        <v>131</v>
      </c>
      <c r="Q125">
        <v>7863704.1009999998</v>
      </c>
    </row>
    <row r="126" spans="1:17" x14ac:dyDescent="0.2">
      <c r="A126" t="s">
        <v>137</v>
      </c>
      <c r="B126">
        <v>0.18655983500000001</v>
      </c>
      <c r="C126">
        <v>14203186.189999999</v>
      </c>
      <c r="D126">
        <v>852191.17130000005</v>
      </c>
      <c r="E126">
        <v>170438234.30000001</v>
      </c>
      <c r="F126" t="s">
        <v>17</v>
      </c>
      <c r="G126" t="s">
        <v>41</v>
      </c>
      <c r="H126" t="s">
        <v>16</v>
      </c>
      <c r="I126" t="s">
        <v>16</v>
      </c>
      <c r="J126" t="s">
        <v>16</v>
      </c>
      <c r="K126" t="s">
        <v>16</v>
      </c>
      <c r="L126" t="s">
        <v>27</v>
      </c>
      <c r="M126" t="str">
        <f t="shared" si="3"/>
        <v>challengedfree-ranging domestic</v>
      </c>
      <c r="N126" t="s">
        <v>28</v>
      </c>
      <c r="O126" t="s">
        <v>130</v>
      </c>
      <c r="P126" t="s">
        <v>131</v>
      </c>
      <c r="Q126">
        <v>852191.17130000005</v>
      </c>
    </row>
    <row r="127" spans="1:17" x14ac:dyDescent="0.2">
      <c r="A127" t="s">
        <v>138</v>
      </c>
      <c r="B127">
        <v>0.156475066</v>
      </c>
      <c r="C127">
        <v>110.18895363777</v>
      </c>
      <c r="D127">
        <v>10.202680892386111</v>
      </c>
      <c r="E127">
        <f>D127*200</f>
        <v>2040.5361784772222</v>
      </c>
      <c r="F127" t="s">
        <v>19</v>
      </c>
      <c r="G127" t="s">
        <v>32</v>
      </c>
      <c r="H127" t="s">
        <v>16</v>
      </c>
      <c r="I127" t="s">
        <v>16</v>
      </c>
      <c r="J127" t="s">
        <v>16</v>
      </c>
      <c r="K127" t="s">
        <v>16</v>
      </c>
      <c r="L127" t="s">
        <v>27</v>
      </c>
      <c r="M127" t="str">
        <f t="shared" si="3"/>
        <v>abx_challengedfree-ranging domestic</v>
      </c>
      <c r="N127" t="s">
        <v>28</v>
      </c>
      <c r="O127" t="s">
        <v>130</v>
      </c>
      <c r="P127" t="s">
        <v>139</v>
      </c>
      <c r="Q127">
        <f>E127-E128</f>
        <v>2040.5361784772222</v>
      </c>
    </row>
    <row r="128" spans="1:17" x14ac:dyDescent="0.2">
      <c r="A128" t="s">
        <v>140</v>
      </c>
      <c r="B128">
        <v>0</v>
      </c>
      <c r="C128" t="s">
        <v>16</v>
      </c>
      <c r="D128">
        <v>0</v>
      </c>
      <c r="E128">
        <f t="shared" ref="E128:E129" si="5">D128*200</f>
        <v>0</v>
      </c>
      <c r="F128" t="s">
        <v>19</v>
      </c>
      <c r="G128" t="s">
        <v>36</v>
      </c>
      <c r="H128" t="s">
        <v>37</v>
      </c>
      <c r="I128">
        <v>1739.503553</v>
      </c>
      <c r="J128" t="s">
        <v>37</v>
      </c>
      <c r="K128">
        <v>2040.5361780000001</v>
      </c>
      <c r="L128" t="s">
        <v>27</v>
      </c>
      <c r="M128" t="str">
        <f t="shared" si="3"/>
        <v>controlfree-ranging domestic</v>
      </c>
      <c r="N128" t="s">
        <v>28</v>
      </c>
      <c r="O128" t="s">
        <v>130</v>
      </c>
      <c r="P128" t="s">
        <v>139</v>
      </c>
      <c r="Q128" t="s">
        <v>16</v>
      </c>
    </row>
    <row r="129" spans="1:17" x14ac:dyDescent="0.2">
      <c r="A129" t="s">
        <v>141</v>
      </c>
      <c r="B129">
        <v>7.0421949999999997E-2</v>
      </c>
      <c r="C129">
        <v>93.933191886949899</v>
      </c>
      <c r="D129">
        <v>8.6975177673101758</v>
      </c>
      <c r="E129">
        <f t="shared" si="5"/>
        <v>1739.5035534620351</v>
      </c>
      <c r="F129" t="s">
        <v>19</v>
      </c>
      <c r="G129" t="s">
        <v>41</v>
      </c>
      <c r="H129" t="s">
        <v>16</v>
      </c>
      <c r="I129" t="s">
        <v>16</v>
      </c>
      <c r="J129" t="s">
        <v>16</v>
      </c>
      <c r="K129" t="s">
        <v>16</v>
      </c>
      <c r="L129" t="s">
        <v>27</v>
      </c>
      <c r="M129" t="str">
        <f t="shared" si="3"/>
        <v>challengedfree-ranging domestic</v>
      </c>
      <c r="N129" t="s">
        <v>28</v>
      </c>
      <c r="O129" t="s">
        <v>130</v>
      </c>
      <c r="P129" t="s">
        <v>139</v>
      </c>
      <c r="Q129">
        <f>E129-E128</f>
        <v>1739.5035534620351</v>
      </c>
    </row>
    <row r="130" spans="1:17" x14ac:dyDescent="0.2">
      <c r="A130" t="s">
        <v>142</v>
      </c>
      <c r="B130" t="s">
        <v>16</v>
      </c>
      <c r="C130" t="s">
        <v>16</v>
      </c>
      <c r="D130" t="s">
        <v>16</v>
      </c>
      <c r="E130" t="s">
        <v>16</v>
      </c>
      <c r="F130" t="s">
        <v>26</v>
      </c>
      <c r="G130" t="s">
        <v>26</v>
      </c>
      <c r="H130" t="s">
        <v>16</v>
      </c>
      <c r="I130" t="s">
        <v>16</v>
      </c>
      <c r="J130" t="s">
        <v>16</v>
      </c>
      <c r="K130" t="s">
        <v>16</v>
      </c>
      <c r="L130" t="s">
        <v>27</v>
      </c>
      <c r="M130" t="str">
        <f t="shared" si="3"/>
        <v>fecalfree-ranging domestic</v>
      </c>
      <c r="N130" t="s">
        <v>28</v>
      </c>
      <c r="O130" t="s">
        <v>130</v>
      </c>
      <c r="P130" t="s">
        <v>143</v>
      </c>
      <c r="Q130" t="s">
        <v>16</v>
      </c>
    </row>
    <row r="131" spans="1:17" x14ac:dyDescent="0.2">
      <c r="A131" t="s">
        <v>144</v>
      </c>
      <c r="B131">
        <v>0.226983026</v>
      </c>
      <c r="C131">
        <v>202.2753036</v>
      </c>
      <c r="D131">
        <v>18.72919478</v>
      </c>
      <c r="E131">
        <v>3745.8389550000002</v>
      </c>
      <c r="F131" t="s">
        <v>19</v>
      </c>
      <c r="G131" t="s">
        <v>32</v>
      </c>
      <c r="H131" t="s">
        <v>16</v>
      </c>
      <c r="I131" t="s">
        <v>16</v>
      </c>
      <c r="J131" t="s">
        <v>16</v>
      </c>
      <c r="K131" t="s">
        <v>16</v>
      </c>
      <c r="L131" t="s">
        <v>27</v>
      </c>
      <c r="M131" t="str">
        <f t="shared" si="3"/>
        <v>abx_challengedfree-ranging domestic</v>
      </c>
      <c r="N131" t="s">
        <v>28</v>
      </c>
      <c r="O131" t="s">
        <v>130</v>
      </c>
      <c r="P131" t="s">
        <v>143</v>
      </c>
      <c r="Q131">
        <v>18.72919478</v>
      </c>
    </row>
    <row r="132" spans="1:17" x14ac:dyDescent="0.2">
      <c r="A132" t="s">
        <v>949</v>
      </c>
      <c r="B132">
        <v>0.10893707699999999</v>
      </c>
      <c r="C132">
        <v>34533466.439999998</v>
      </c>
      <c r="D132">
        <v>69066.932889999996</v>
      </c>
      <c r="E132">
        <v>13813386.58</v>
      </c>
      <c r="F132" t="s">
        <v>33</v>
      </c>
      <c r="G132" t="s">
        <v>32</v>
      </c>
      <c r="H132" t="s">
        <v>16</v>
      </c>
      <c r="I132" t="s">
        <v>16</v>
      </c>
      <c r="J132" t="s">
        <v>16</v>
      </c>
      <c r="K132" t="s">
        <v>16</v>
      </c>
      <c r="L132" t="s">
        <v>27</v>
      </c>
      <c r="M132" t="str">
        <f t="shared" si="3"/>
        <v>abx_challengedfree-ranging domestic</v>
      </c>
      <c r="N132" t="s">
        <v>28</v>
      </c>
      <c r="O132" t="s">
        <v>130</v>
      </c>
      <c r="P132" t="s">
        <v>143</v>
      </c>
      <c r="Q132">
        <v>3814.0762249999998</v>
      </c>
    </row>
    <row r="133" spans="1:17" x14ac:dyDescent="0.2">
      <c r="A133" t="s">
        <v>145</v>
      </c>
      <c r="B133">
        <v>0.20119799099999999</v>
      </c>
      <c r="C133">
        <v>10875476.109999999</v>
      </c>
      <c r="D133">
        <v>65252.856659999998</v>
      </c>
      <c r="E133">
        <v>13050571.33</v>
      </c>
      <c r="F133" t="s">
        <v>17</v>
      </c>
      <c r="G133" t="s">
        <v>32</v>
      </c>
      <c r="H133" t="s">
        <v>16</v>
      </c>
      <c r="I133" t="s">
        <v>16</v>
      </c>
      <c r="J133" t="s">
        <v>16</v>
      </c>
      <c r="K133" t="s">
        <v>16</v>
      </c>
      <c r="L133" t="s">
        <v>27</v>
      </c>
      <c r="M133" t="str">
        <f t="shared" si="3"/>
        <v>abx_challengedfree-ranging domestic</v>
      </c>
      <c r="N133" t="s">
        <v>28</v>
      </c>
      <c r="O133" t="s">
        <v>130</v>
      </c>
      <c r="P133" t="s">
        <v>143</v>
      </c>
      <c r="Q133">
        <v>65252.856659999998</v>
      </c>
    </row>
    <row r="134" spans="1:17" x14ac:dyDescent="0.2">
      <c r="A134" t="s">
        <v>146</v>
      </c>
      <c r="B134">
        <v>0</v>
      </c>
      <c r="C134" t="s">
        <v>16</v>
      </c>
      <c r="D134">
        <v>0</v>
      </c>
      <c r="E134">
        <v>0</v>
      </c>
      <c r="F134" t="s">
        <v>19</v>
      </c>
      <c r="G134" t="s">
        <v>36</v>
      </c>
      <c r="H134" t="s">
        <v>37</v>
      </c>
      <c r="I134">
        <v>0</v>
      </c>
      <c r="J134" t="s">
        <v>37</v>
      </c>
      <c r="K134">
        <v>3745.8389550000002</v>
      </c>
      <c r="L134" t="s">
        <v>27</v>
      </c>
      <c r="M134" t="str">
        <f t="shared" si="3"/>
        <v>controlfree-ranging domestic</v>
      </c>
      <c r="N134" t="s">
        <v>28</v>
      </c>
      <c r="O134" t="s">
        <v>130</v>
      </c>
      <c r="P134" t="s">
        <v>143</v>
      </c>
      <c r="Q134" t="s">
        <v>16</v>
      </c>
    </row>
    <row r="135" spans="1:17" x14ac:dyDescent="0.2">
      <c r="A135" t="s">
        <v>950</v>
      </c>
      <c r="B135">
        <v>0</v>
      </c>
      <c r="C135">
        <v>81796442.680000007</v>
      </c>
      <c r="D135">
        <v>490778.65610000002</v>
      </c>
      <c r="E135">
        <v>98155731.219999999</v>
      </c>
      <c r="F135" t="s">
        <v>33</v>
      </c>
      <c r="G135" t="s">
        <v>36</v>
      </c>
      <c r="H135" t="s">
        <v>38</v>
      </c>
      <c r="I135">
        <v>1784159349</v>
      </c>
      <c r="J135" t="s">
        <v>38</v>
      </c>
      <c r="K135">
        <v>13813386.58</v>
      </c>
      <c r="L135" t="s">
        <v>27</v>
      </c>
      <c r="M135" t="str">
        <f t="shared" si="3"/>
        <v>controlfree-ranging domestic</v>
      </c>
      <c r="N135" t="s">
        <v>28</v>
      </c>
      <c r="O135" t="s">
        <v>130</v>
      </c>
      <c r="P135" t="s">
        <v>143</v>
      </c>
      <c r="Q135" t="s">
        <v>16</v>
      </c>
    </row>
    <row r="136" spans="1:17" x14ac:dyDescent="0.2">
      <c r="A136" t="s">
        <v>147</v>
      </c>
      <c r="B136">
        <v>0</v>
      </c>
      <c r="C136" t="s">
        <v>16</v>
      </c>
      <c r="D136">
        <v>0</v>
      </c>
      <c r="E136">
        <v>0</v>
      </c>
      <c r="F136" t="s">
        <v>17</v>
      </c>
      <c r="G136" t="s">
        <v>36</v>
      </c>
      <c r="H136" t="s">
        <v>38</v>
      </c>
      <c r="I136">
        <v>131820963.2</v>
      </c>
      <c r="J136" t="s">
        <v>38</v>
      </c>
      <c r="K136">
        <v>13050571.33</v>
      </c>
      <c r="L136" t="s">
        <v>27</v>
      </c>
      <c r="M136" t="str">
        <f t="shared" si="3"/>
        <v>controlfree-ranging domestic</v>
      </c>
      <c r="N136" t="s">
        <v>28</v>
      </c>
      <c r="O136" t="s">
        <v>130</v>
      </c>
      <c r="P136" t="s">
        <v>143</v>
      </c>
      <c r="Q136" t="s">
        <v>16</v>
      </c>
    </row>
    <row r="137" spans="1:17" x14ac:dyDescent="0.2">
      <c r="A137" t="s">
        <v>148</v>
      </c>
      <c r="B137">
        <v>0.23964992900000001</v>
      </c>
      <c r="C137">
        <v>76.138783329999995</v>
      </c>
      <c r="D137">
        <v>0</v>
      </c>
      <c r="E137">
        <v>0</v>
      </c>
      <c r="F137" t="s">
        <v>19</v>
      </c>
      <c r="G137" t="s">
        <v>41</v>
      </c>
      <c r="H137" t="s">
        <v>16</v>
      </c>
      <c r="I137" t="s">
        <v>16</v>
      </c>
      <c r="J137" t="s">
        <v>16</v>
      </c>
      <c r="K137" t="s">
        <v>16</v>
      </c>
      <c r="L137" t="s">
        <v>27</v>
      </c>
      <c r="M137" t="str">
        <f t="shared" si="3"/>
        <v>challengedfree-ranging domestic</v>
      </c>
      <c r="N137" t="s">
        <v>28</v>
      </c>
      <c r="O137" t="s">
        <v>130</v>
      </c>
      <c r="P137" t="s">
        <v>143</v>
      </c>
      <c r="Q137">
        <v>0</v>
      </c>
    </row>
    <row r="138" spans="1:17" x14ac:dyDescent="0.2">
      <c r="A138" t="s">
        <v>951</v>
      </c>
      <c r="B138">
        <v>3.4247407000000001E-2</v>
      </c>
      <c r="C138">
        <v>148679945.80000001</v>
      </c>
      <c r="D138">
        <v>8920796.7459999993</v>
      </c>
      <c r="E138">
        <v>1784159349</v>
      </c>
      <c r="F138" t="s">
        <v>33</v>
      </c>
      <c r="G138" t="s">
        <v>41</v>
      </c>
      <c r="H138" t="s">
        <v>16</v>
      </c>
      <c r="I138" t="s">
        <v>16</v>
      </c>
      <c r="J138" t="s">
        <v>16</v>
      </c>
      <c r="K138" t="s">
        <v>16</v>
      </c>
      <c r="L138" t="s">
        <v>27</v>
      </c>
      <c r="M138" t="str">
        <f t="shared" ref="M138:M201" si="6">CONCATENATE(G138, L138)</f>
        <v>challengedfree-ranging domestic</v>
      </c>
      <c r="N138" t="s">
        <v>28</v>
      </c>
      <c r="O138" t="s">
        <v>130</v>
      </c>
      <c r="P138" t="s">
        <v>143</v>
      </c>
      <c r="Q138">
        <v>8920796.7459999993</v>
      </c>
    </row>
    <row r="139" spans="1:17" x14ac:dyDescent="0.2">
      <c r="A139" t="s">
        <v>149</v>
      </c>
      <c r="B139">
        <v>0.18051346500000001</v>
      </c>
      <c r="C139">
        <v>10985080.26</v>
      </c>
      <c r="D139">
        <v>659104.81590000005</v>
      </c>
      <c r="E139">
        <v>131820963.2</v>
      </c>
      <c r="F139" t="s">
        <v>17</v>
      </c>
      <c r="G139" t="s">
        <v>41</v>
      </c>
      <c r="H139" t="s">
        <v>16</v>
      </c>
      <c r="I139" t="s">
        <v>16</v>
      </c>
      <c r="J139" t="s">
        <v>16</v>
      </c>
      <c r="K139" t="s">
        <v>16</v>
      </c>
      <c r="L139" t="s">
        <v>27</v>
      </c>
      <c r="M139" t="str">
        <f t="shared" si="6"/>
        <v>challengedfree-ranging domestic</v>
      </c>
      <c r="N139" t="s">
        <v>28</v>
      </c>
      <c r="O139" t="s">
        <v>130</v>
      </c>
      <c r="P139" t="s">
        <v>143</v>
      </c>
      <c r="Q139">
        <v>659104.81590000005</v>
      </c>
    </row>
    <row r="140" spans="1:17" x14ac:dyDescent="0.2">
      <c r="A140" t="s">
        <v>150</v>
      </c>
      <c r="B140">
        <v>7.7614863000000006E-2</v>
      </c>
      <c r="C140">
        <v>67.93945574</v>
      </c>
      <c r="D140">
        <v>0</v>
      </c>
      <c r="E140">
        <v>0</v>
      </c>
      <c r="F140" t="s">
        <v>19</v>
      </c>
      <c r="G140" t="s">
        <v>32</v>
      </c>
      <c r="H140" t="s">
        <v>16</v>
      </c>
      <c r="I140" t="s">
        <v>16</v>
      </c>
      <c r="J140" t="s">
        <v>16</v>
      </c>
      <c r="K140" t="s">
        <v>16</v>
      </c>
      <c r="L140" t="s">
        <v>27</v>
      </c>
      <c r="M140" t="str">
        <f t="shared" si="6"/>
        <v>abx_challengedfree-ranging domestic</v>
      </c>
      <c r="N140" t="s">
        <v>28</v>
      </c>
      <c r="O140" t="s">
        <v>130</v>
      </c>
      <c r="P140" t="s">
        <v>151</v>
      </c>
      <c r="Q140">
        <v>0</v>
      </c>
    </row>
    <row r="141" spans="1:17" x14ac:dyDescent="0.2">
      <c r="A141" t="s">
        <v>952</v>
      </c>
      <c r="B141">
        <v>0.104607133</v>
      </c>
      <c r="C141">
        <v>41119697.719999999</v>
      </c>
      <c r="D141">
        <v>82239.395439999993</v>
      </c>
      <c r="E141">
        <v>16447879.09</v>
      </c>
      <c r="F141" t="s">
        <v>33</v>
      </c>
      <c r="G141" t="s">
        <v>32</v>
      </c>
      <c r="H141" t="s">
        <v>16</v>
      </c>
      <c r="I141" t="s">
        <v>16</v>
      </c>
      <c r="J141" t="s">
        <v>16</v>
      </c>
      <c r="K141" t="s">
        <v>16</v>
      </c>
      <c r="L141" t="s">
        <v>27</v>
      </c>
      <c r="M141" t="str">
        <f t="shared" si="6"/>
        <v>abx_challengedfree-ranging domestic</v>
      </c>
      <c r="N141" t="s">
        <v>28</v>
      </c>
      <c r="O141" t="s">
        <v>130</v>
      </c>
      <c r="P141" t="s">
        <v>151</v>
      </c>
      <c r="Q141">
        <v>82239.395439999993</v>
      </c>
    </row>
    <row r="142" spans="1:17" x14ac:dyDescent="0.2">
      <c r="A142" t="s">
        <v>152</v>
      </c>
      <c r="B142">
        <v>0.20570981999999999</v>
      </c>
      <c r="C142">
        <v>5788699.358</v>
      </c>
      <c r="D142">
        <v>34732.196150000003</v>
      </c>
      <c r="E142">
        <v>6946439.2300000004</v>
      </c>
      <c r="F142" t="s">
        <v>17</v>
      </c>
      <c r="G142" t="s">
        <v>32</v>
      </c>
      <c r="H142" t="s">
        <v>16</v>
      </c>
      <c r="I142" t="s">
        <v>16</v>
      </c>
      <c r="J142" t="s">
        <v>16</v>
      </c>
      <c r="K142" t="s">
        <v>16</v>
      </c>
      <c r="L142" t="s">
        <v>27</v>
      </c>
      <c r="M142" t="str">
        <f t="shared" si="6"/>
        <v>abx_challengedfree-ranging domestic</v>
      </c>
      <c r="N142" t="s">
        <v>28</v>
      </c>
      <c r="O142" t="s">
        <v>130</v>
      </c>
      <c r="P142" t="s">
        <v>151</v>
      </c>
      <c r="Q142">
        <v>34732.196150000003</v>
      </c>
    </row>
    <row r="143" spans="1:17" x14ac:dyDescent="0.2">
      <c r="A143" t="s">
        <v>153</v>
      </c>
      <c r="B143">
        <v>0</v>
      </c>
      <c r="C143">
        <v>11.169241680000001</v>
      </c>
      <c r="D143">
        <v>0</v>
      </c>
      <c r="E143">
        <v>0</v>
      </c>
      <c r="F143" t="s">
        <v>19</v>
      </c>
      <c r="G143" t="s">
        <v>36</v>
      </c>
      <c r="H143" t="s">
        <v>37</v>
      </c>
      <c r="I143">
        <v>21720.723529999999</v>
      </c>
      <c r="J143" t="s">
        <v>37</v>
      </c>
      <c r="K143">
        <v>0</v>
      </c>
      <c r="L143" t="s">
        <v>27</v>
      </c>
      <c r="M143" t="str">
        <f t="shared" si="6"/>
        <v>controlfree-ranging domestic</v>
      </c>
      <c r="N143" t="s">
        <v>28</v>
      </c>
      <c r="O143" t="s">
        <v>130</v>
      </c>
      <c r="P143" t="s">
        <v>151</v>
      </c>
      <c r="Q143" t="s">
        <v>16</v>
      </c>
    </row>
    <row r="144" spans="1:17" x14ac:dyDescent="0.2">
      <c r="A144" t="s">
        <v>953</v>
      </c>
      <c r="B144">
        <v>0</v>
      </c>
      <c r="C144">
        <v>86958138.030000001</v>
      </c>
      <c r="D144">
        <v>521748.82819999999</v>
      </c>
      <c r="E144">
        <v>104349765.59999999</v>
      </c>
      <c r="F144" t="s">
        <v>33</v>
      </c>
      <c r="G144" t="s">
        <v>36</v>
      </c>
      <c r="H144" t="s">
        <v>38</v>
      </c>
      <c r="I144">
        <v>34206683699</v>
      </c>
      <c r="J144" t="s">
        <v>38</v>
      </c>
      <c r="K144">
        <v>16447879.09</v>
      </c>
      <c r="L144" t="s">
        <v>27</v>
      </c>
      <c r="M144" t="str">
        <f t="shared" si="6"/>
        <v>controlfree-ranging domestic</v>
      </c>
      <c r="N144" t="s">
        <v>28</v>
      </c>
      <c r="O144" t="s">
        <v>130</v>
      </c>
      <c r="P144" t="s">
        <v>151</v>
      </c>
      <c r="Q144" t="s">
        <v>16</v>
      </c>
    </row>
    <row r="145" spans="1:17" x14ac:dyDescent="0.2">
      <c r="A145" t="s">
        <v>154</v>
      </c>
      <c r="B145">
        <v>0</v>
      </c>
      <c r="C145" t="s">
        <v>16</v>
      </c>
      <c r="D145">
        <v>0</v>
      </c>
      <c r="E145">
        <v>0</v>
      </c>
      <c r="F145" t="s">
        <v>17</v>
      </c>
      <c r="G145" t="s">
        <v>36</v>
      </c>
      <c r="H145" t="s">
        <v>38</v>
      </c>
      <c r="I145">
        <v>23694702.27</v>
      </c>
      <c r="J145" t="s">
        <v>38</v>
      </c>
      <c r="K145">
        <v>6946439.2300000004</v>
      </c>
      <c r="L145" t="s">
        <v>27</v>
      </c>
      <c r="M145" t="str">
        <f t="shared" si="6"/>
        <v>controlfree-ranging domestic</v>
      </c>
      <c r="N145" t="s">
        <v>28</v>
      </c>
      <c r="O145" t="s">
        <v>130</v>
      </c>
      <c r="P145" t="s">
        <v>151</v>
      </c>
      <c r="Q145" t="s">
        <v>16</v>
      </c>
    </row>
    <row r="146" spans="1:17" x14ac:dyDescent="0.2">
      <c r="A146" t="s">
        <v>155</v>
      </c>
      <c r="B146">
        <v>0.122456882</v>
      </c>
      <c r="C146">
        <v>1172.9190699999999</v>
      </c>
      <c r="D146">
        <v>108.60361760000001</v>
      </c>
      <c r="E146">
        <v>21720.723529999999</v>
      </c>
      <c r="F146" t="s">
        <v>19</v>
      </c>
      <c r="G146" t="s">
        <v>41</v>
      </c>
      <c r="H146" t="s">
        <v>16</v>
      </c>
      <c r="I146" t="s">
        <v>16</v>
      </c>
      <c r="J146" t="s">
        <v>16</v>
      </c>
      <c r="K146" t="s">
        <v>16</v>
      </c>
      <c r="L146" t="s">
        <v>27</v>
      </c>
      <c r="M146" t="str">
        <f t="shared" si="6"/>
        <v>challengedfree-ranging domestic</v>
      </c>
      <c r="N146" t="s">
        <v>28</v>
      </c>
      <c r="O146" t="s">
        <v>130</v>
      </c>
      <c r="P146" t="s">
        <v>151</v>
      </c>
      <c r="Q146">
        <v>108.60361760000001</v>
      </c>
    </row>
    <row r="147" spans="1:17" x14ac:dyDescent="0.2">
      <c r="A147" t="s">
        <v>954</v>
      </c>
      <c r="B147">
        <v>8.7707878000000003E-2</v>
      </c>
      <c r="C147">
        <v>2850556975</v>
      </c>
      <c r="D147">
        <v>171033418.5</v>
      </c>
      <c r="E147">
        <v>34206683699</v>
      </c>
      <c r="F147" t="s">
        <v>33</v>
      </c>
      <c r="G147" t="s">
        <v>41</v>
      </c>
      <c r="H147" t="s">
        <v>16</v>
      </c>
      <c r="I147" t="s">
        <v>16</v>
      </c>
      <c r="J147" t="s">
        <v>16</v>
      </c>
      <c r="K147" t="s">
        <v>16</v>
      </c>
      <c r="L147" t="s">
        <v>27</v>
      </c>
      <c r="M147" t="str">
        <f t="shared" si="6"/>
        <v>challengedfree-ranging domestic</v>
      </c>
      <c r="N147" t="s">
        <v>28</v>
      </c>
      <c r="O147" t="s">
        <v>130</v>
      </c>
      <c r="P147" t="s">
        <v>151</v>
      </c>
      <c r="Q147">
        <v>170914945</v>
      </c>
    </row>
    <row r="148" spans="1:17" x14ac:dyDescent="0.2">
      <c r="A148" t="s">
        <v>156</v>
      </c>
      <c r="B148">
        <v>0.14751238</v>
      </c>
      <c r="C148">
        <v>1974558.523</v>
      </c>
      <c r="D148">
        <v>118473.5114</v>
      </c>
      <c r="E148">
        <v>23694702.27</v>
      </c>
      <c r="F148" t="s">
        <v>17</v>
      </c>
      <c r="G148" t="s">
        <v>41</v>
      </c>
      <c r="H148" t="s">
        <v>16</v>
      </c>
      <c r="I148" t="s">
        <v>16</v>
      </c>
      <c r="J148" t="s">
        <v>16</v>
      </c>
      <c r="K148" t="s">
        <v>16</v>
      </c>
      <c r="L148" t="s">
        <v>27</v>
      </c>
      <c r="M148" t="str">
        <f t="shared" si="6"/>
        <v>challengedfree-ranging domestic</v>
      </c>
      <c r="N148" t="s">
        <v>28</v>
      </c>
      <c r="O148" t="s">
        <v>130</v>
      </c>
      <c r="P148" t="s">
        <v>151</v>
      </c>
      <c r="Q148">
        <v>118473.5114</v>
      </c>
    </row>
    <row r="149" spans="1:17" x14ac:dyDescent="0.2">
      <c r="A149" t="s">
        <v>157</v>
      </c>
      <c r="B149" t="s">
        <v>16</v>
      </c>
      <c r="C149" t="s">
        <v>16</v>
      </c>
      <c r="D149" t="s">
        <v>16</v>
      </c>
      <c r="E149" t="s">
        <v>16</v>
      </c>
      <c r="F149" t="s">
        <v>26</v>
      </c>
      <c r="G149" t="s">
        <v>26</v>
      </c>
      <c r="H149" t="s">
        <v>16</v>
      </c>
      <c r="I149" t="s">
        <v>16</v>
      </c>
      <c r="J149" t="s">
        <v>16</v>
      </c>
      <c r="K149" t="s">
        <v>16</v>
      </c>
      <c r="L149" t="s">
        <v>27</v>
      </c>
      <c r="M149" t="str">
        <f t="shared" si="6"/>
        <v>fecalfree-ranging domestic</v>
      </c>
      <c r="N149" t="s">
        <v>28</v>
      </c>
      <c r="O149" t="s">
        <v>130</v>
      </c>
      <c r="P149" t="s">
        <v>158</v>
      </c>
      <c r="Q149" t="s">
        <v>16</v>
      </c>
    </row>
    <row r="150" spans="1:17" x14ac:dyDescent="0.2">
      <c r="A150" t="s">
        <v>159</v>
      </c>
      <c r="B150" t="s">
        <v>16</v>
      </c>
      <c r="C150">
        <v>3.5155447249999998</v>
      </c>
      <c r="D150">
        <v>0</v>
      </c>
      <c r="E150">
        <v>0</v>
      </c>
      <c r="F150" t="s">
        <v>19</v>
      </c>
      <c r="G150" t="s">
        <v>91</v>
      </c>
      <c r="H150" t="s">
        <v>16</v>
      </c>
      <c r="I150" t="s">
        <v>16</v>
      </c>
      <c r="J150" t="s">
        <v>16</v>
      </c>
      <c r="K150" t="s">
        <v>16</v>
      </c>
      <c r="L150" t="s">
        <v>27</v>
      </c>
      <c r="M150" t="str">
        <f t="shared" si="6"/>
        <v>ABXfree-ranging domestic</v>
      </c>
      <c r="N150" t="s">
        <v>28</v>
      </c>
      <c r="O150" t="s">
        <v>130</v>
      </c>
      <c r="P150" t="s">
        <v>158</v>
      </c>
      <c r="Q150">
        <v>0</v>
      </c>
    </row>
    <row r="151" spans="1:17" x14ac:dyDescent="0.2">
      <c r="A151" t="s">
        <v>160</v>
      </c>
      <c r="B151">
        <v>0.12761798799999999</v>
      </c>
      <c r="C151">
        <v>262.63968849999998</v>
      </c>
      <c r="D151">
        <v>24.318489670000002</v>
      </c>
      <c r="E151">
        <v>4863.6979339999998</v>
      </c>
      <c r="F151" t="s">
        <v>19</v>
      </c>
      <c r="G151" t="s">
        <v>32</v>
      </c>
      <c r="H151" t="s">
        <v>16</v>
      </c>
      <c r="I151" t="s">
        <v>16</v>
      </c>
      <c r="J151" t="s">
        <v>16</v>
      </c>
      <c r="K151" t="s">
        <v>16</v>
      </c>
      <c r="L151" t="s">
        <v>27</v>
      </c>
      <c r="M151" t="str">
        <f t="shared" si="6"/>
        <v>abx_challengedfree-ranging domestic</v>
      </c>
      <c r="N151" t="s">
        <v>28</v>
      </c>
      <c r="O151" t="s">
        <v>130</v>
      </c>
      <c r="P151" t="s">
        <v>158</v>
      </c>
      <c r="Q151">
        <v>24.318489670000002</v>
      </c>
    </row>
    <row r="152" spans="1:17" x14ac:dyDescent="0.2">
      <c r="A152" t="s">
        <v>955</v>
      </c>
      <c r="B152">
        <v>0.13376997900000001</v>
      </c>
      <c r="C152">
        <v>40878281.329999998</v>
      </c>
      <c r="D152">
        <v>81756.562669999999</v>
      </c>
      <c r="E152">
        <v>16351312.529999999</v>
      </c>
      <c r="F152" t="s">
        <v>33</v>
      </c>
      <c r="G152" t="s">
        <v>32</v>
      </c>
      <c r="H152" t="s">
        <v>16</v>
      </c>
      <c r="I152" t="s">
        <v>16</v>
      </c>
      <c r="J152" t="s">
        <v>16</v>
      </c>
      <c r="K152" t="s">
        <v>16</v>
      </c>
      <c r="L152" t="s">
        <v>27</v>
      </c>
      <c r="M152" t="str">
        <f t="shared" si="6"/>
        <v>abx_challengedfree-ranging domestic</v>
      </c>
      <c r="N152" t="s">
        <v>28</v>
      </c>
      <c r="O152" t="s">
        <v>130</v>
      </c>
      <c r="P152" t="s">
        <v>158</v>
      </c>
      <c r="Q152">
        <v>81756.562669999999</v>
      </c>
    </row>
    <row r="153" spans="1:17" x14ac:dyDescent="0.2">
      <c r="A153" t="s">
        <v>161</v>
      </c>
      <c r="B153">
        <v>0.20201617899999999</v>
      </c>
      <c r="C153">
        <v>8993318.2620000001</v>
      </c>
      <c r="D153">
        <v>53959.909570000003</v>
      </c>
      <c r="E153">
        <v>10791981.91</v>
      </c>
      <c r="F153" t="s">
        <v>17</v>
      </c>
      <c r="G153" t="s">
        <v>32</v>
      </c>
      <c r="H153" t="s">
        <v>16</v>
      </c>
      <c r="I153" t="s">
        <v>16</v>
      </c>
      <c r="J153" t="s">
        <v>16</v>
      </c>
      <c r="K153" t="s">
        <v>16</v>
      </c>
      <c r="L153" t="s">
        <v>27</v>
      </c>
      <c r="M153" t="str">
        <f t="shared" si="6"/>
        <v>abx_challengedfree-ranging domestic</v>
      </c>
      <c r="N153" t="s">
        <v>28</v>
      </c>
      <c r="O153" t="s">
        <v>130</v>
      </c>
      <c r="P153" t="s">
        <v>158</v>
      </c>
      <c r="Q153">
        <v>53959.909570000003</v>
      </c>
    </row>
    <row r="154" spans="1:17" x14ac:dyDescent="0.2">
      <c r="A154" t="s">
        <v>162</v>
      </c>
      <c r="B154">
        <v>0</v>
      </c>
      <c r="C154" t="s">
        <v>16</v>
      </c>
      <c r="D154">
        <v>0</v>
      </c>
      <c r="E154">
        <v>0</v>
      </c>
      <c r="F154" t="s">
        <v>19</v>
      </c>
      <c r="G154" t="s">
        <v>36</v>
      </c>
      <c r="H154" t="s">
        <v>37</v>
      </c>
      <c r="I154">
        <v>0</v>
      </c>
      <c r="J154" t="s">
        <v>37</v>
      </c>
      <c r="K154">
        <v>4863.6979339999998</v>
      </c>
      <c r="L154" t="s">
        <v>27</v>
      </c>
      <c r="M154" t="str">
        <f t="shared" si="6"/>
        <v>controlfree-ranging domestic</v>
      </c>
      <c r="N154" t="s">
        <v>28</v>
      </c>
      <c r="O154" t="s">
        <v>130</v>
      </c>
      <c r="P154" t="s">
        <v>158</v>
      </c>
      <c r="Q154" t="s">
        <v>16</v>
      </c>
    </row>
    <row r="155" spans="1:17" x14ac:dyDescent="0.2">
      <c r="A155" t="s">
        <v>956</v>
      </c>
      <c r="B155">
        <v>0</v>
      </c>
      <c r="C155">
        <v>88736037.109999999</v>
      </c>
      <c r="D155">
        <v>532416.22270000004</v>
      </c>
      <c r="E155">
        <v>106483244.5</v>
      </c>
      <c r="F155" t="s">
        <v>33</v>
      </c>
      <c r="G155" t="s">
        <v>36</v>
      </c>
      <c r="H155" t="s">
        <v>38</v>
      </c>
      <c r="I155">
        <v>46236531122</v>
      </c>
      <c r="J155" t="s">
        <v>38</v>
      </c>
      <c r="K155">
        <v>16351312.529999999</v>
      </c>
      <c r="L155" t="s">
        <v>27</v>
      </c>
      <c r="M155" t="str">
        <f t="shared" si="6"/>
        <v>controlfree-ranging domestic</v>
      </c>
      <c r="N155" t="s">
        <v>28</v>
      </c>
      <c r="O155" t="s">
        <v>130</v>
      </c>
      <c r="P155" t="s">
        <v>158</v>
      </c>
      <c r="Q155" t="s">
        <v>16</v>
      </c>
    </row>
    <row r="156" spans="1:17" x14ac:dyDescent="0.2">
      <c r="A156" t="s">
        <v>163</v>
      </c>
      <c r="B156">
        <v>0</v>
      </c>
      <c r="C156" t="s">
        <v>16</v>
      </c>
      <c r="D156">
        <v>0</v>
      </c>
      <c r="E156">
        <v>0</v>
      </c>
      <c r="F156" t="s">
        <v>17</v>
      </c>
      <c r="G156" t="s">
        <v>36</v>
      </c>
      <c r="H156" t="s">
        <v>38</v>
      </c>
      <c r="I156">
        <v>227988114.5</v>
      </c>
      <c r="J156" t="s">
        <v>38</v>
      </c>
      <c r="K156">
        <v>10791981.91</v>
      </c>
      <c r="L156" t="s">
        <v>27</v>
      </c>
      <c r="M156" t="str">
        <f t="shared" si="6"/>
        <v>controlfree-ranging domestic</v>
      </c>
      <c r="N156" t="s">
        <v>28</v>
      </c>
      <c r="O156" t="s">
        <v>130</v>
      </c>
      <c r="P156" t="s">
        <v>158</v>
      </c>
      <c r="Q156" t="s">
        <v>16</v>
      </c>
    </row>
    <row r="157" spans="1:17" x14ac:dyDescent="0.2">
      <c r="A157" t="s">
        <v>957</v>
      </c>
      <c r="B157">
        <v>0.16808319799999999</v>
      </c>
      <c r="C157">
        <v>3853044260</v>
      </c>
      <c r="D157">
        <v>231182655.59999999</v>
      </c>
      <c r="E157">
        <v>46236531122</v>
      </c>
      <c r="F157" t="s">
        <v>33</v>
      </c>
      <c r="G157" t="s">
        <v>41</v>
      </c>
      <c r="H157" t="s">
        <v>16</v>
      </c>
      <c r="I157" t="s">
        <v>16</v>
      </c>
      <c r="J157" t="s">
        <v>16</v>
      </c>
      <c r="K157" t="s">
        <v>16</v>
      </c>
      <c r="L157" t="s">
        <v>27</v>
      </c>
      <c r="M157" t="str">
        <f t="shared" si="6"/>
        <v>challengedfree-ranging domestic</v>
      </c>
      <c r="N157" t="s">
        <v>28</v>
      </c>
      <c r="O157" t="s">
        <v>130</v>
      </c>
      <c r="P157" t="s">
        <v>158</v>
      </c>
      <c r="Q157">
        <v>230042715</v>
      </c>
    </row>
    <row r="158" spans="1:17" x14ac:dyDescent="0.2">
      <c r="A158" t="s">
        <v>164</v>
      </c>
      <c r="B158">
        <v>0.13820702400000001</v>
      </c>
      <c r="C158">
        <v>18999009.539999999</v>
      </c>
      <c r="D158">
        <v>1139940.5719999999</v>
      </c>
      <c r="E158">
        <v>227988114.5</v>
      </c>
      <c r="F158" t="s">
        <v>17</v>
      </c>
      <c r="G158" t="s">
        <v>41</v>
      </c>
      <c r="H158" t="s">
        <v>16</v>
      </c>
      <c r="I158" t="s">
        <v>16</v>
      </c>
      <c r="J158" t="s">
        <v>16</v>
      </c>
      <c r="K158" t="s">
        <v>16</v>
      </c>
      <c r="L158" t="s">
        <v>27</v>
      </c>
      <c r="M158" t="str">
        <f t="shared" si="6"/>
        <v>challengedfree-ranging domestic</v>
      </c>
      <c r="N158" t="s">
        <v>28</v>
      </c>
      <c r="O158" t="s">
        <v>130</v>
      </c>
      <c r="P158" t="s">
        <v>158</v>
      </c>
      <c r="Q158">
        <v>1139940.5719999999</v>
      </c>
    </row>
    <row r="159" spans="1:17" x14ac:dyDescent="0.2">
      <c r="A159" t="s">
        <v>165</v>
      </c>
      <c r="B159">
        <v>0.137322318</v>
      </c>
      <c r="C159">
        <v>1192.588117</v>
      </c>
      <c r="D159">
        <v>110.4248257</v>
      </c>
      <c r="E159">
        <v>22084.96513</v>
      </c>
      <c r="F159" t="s">
        <v>19</v>
      </c>
      <c r="G159" t="s">
        <v>32</v>
      </c>
      <c r="H159" t="s">
        <v>16</v>
      </c>
      <c r="I159" t="s">
        <v>16</v>
      </c>
      <c r="J159" t="s">
        <v>16</v>
      </c>
      <c r="K159" t="s">
        <v>16</v>
      </c>
      <c r="L159" t="s">
        <v>27</v>
      </c>
      <c r="M159" t="str">
        <f t="shared" si="6"/>
        <v>abx_challengedfree-ranging domestic</v>
      </c>
      <c r="N159" t="s">
        <v>28</v>
      </c>
      <c r="O159" t="s">
        <v>130</v>
      </c>
      <c r="P159" t="s">
        <v>166</v>
      </c>
      <c r="Q159">
        <v>110.4248257</v>
      </c>
    </row>
    <row r="160" spans="1:17" x14ac:dyDescent="0.2">
      <c r="A160" t="s">
        <v>958</v>
      </c>
      <c r="B160">
        <v>0.128606101</v>
      </c>
      <c r="C160">
        <v>17249670.719999999</v>
      </c>
      <c r="D160">
        <v>34499.341439999997</v>
      </c>
      <c r="E160">
        <v>6899868.2879999997</v>
      </c>
      <c r="F160" t="s">
        <v>33</v>
      </c>
      <c r="G160" t="s">
        <v>32</v>
      </c>
      <c r="H160" t="s">
        <v>16</v>
      </c>
      <c r="I160" t="s">
        <v>16</v>
      </c>
      <c r="J160" t="s">
        <v>16</v>
      </c>
      <c r="K160" t="s">
        <v>16</v>
      </c>
      <c r="L160" t="s">
        <v>27</v>
      </c>
      <c r="M160" t="str">
        <f t="shared" si="6"/>
        <v>abx_challengedfree-ranging domestic</v>
      </c>
      <c r="N160" t="s">
        <v>28</v>
      </c>
      <c r="O160" t="s">
        <v>130</v>
      </c>
      <c r="P160" t="s">
        <v>166</v>
      </c>
      <c r="Q160">
        <v>34499.341439999997</v>
      </c>
    </row>
    <row r="161" spans="1:17" x14ac:dyDescent="0.2">
      <c r="A161" t="s">
        <v>167</v>
      </c>
      <c r="B161">
        <v>0.21848841499999999</v>
      </c>
      <c r="C161">
        <v>10397595.5</v>
      </c>
      <c r="D161">
        <v>62385.573020000003</v>
      </c>
      <c r="E161">
        <v>12477114.6</v>
      </c>
      <c r="F161" t="s">
        <v>17</v>
      </c>
      <c r="G161" t="s">
        <v>32</v>
      </c>
      <c r="H161" t="s">
        <v>16</v>
      </c>
      <c r="I161" t="s">
        <v>16</v>
      </c>
      <c r="J161" t="s">
        <v>16</v>
      </c>
      <c r="K161" t="s">
        <v>16</v>
      </c>
      <c r="L161" t="s">
        <v>27</v>
      </c>
      <c r="M161" t="str">
        <f t="shared" si="6"/>
        <v>abx_challengedfree-ranging domestic</v>
      </c>
      <c r="N161" t="s">
        <v>28</v>
      </c>
      <c r="O161" t="s">
        <v>130</v>
      </c>
      <c r="P161" t="s">
        <v>166</v>
      </c>
      <c r="Q161">
        <v>62385.573020000003</v>
      </c>
    </row>
    <row r="162" spans="1:17" x14ac:dyDescent="0.2">
      <c r="A162" t="s">
        <v>168</v>
      </c>
      <c r="B162">
        <v>0</v>
      </c>
      <c r="C162" t="s">
        <v>16</v>
      </c>
      <c r="D162">
        <v>0</v>
      </c>
      <c r="E162">
        <v>0</v>
      </c>
      <c r="F162" t="s">
        <v>19</v>
      </c>
      <c r="G162" t="s">
        <v>36</v>
      </c>
      <c r="H162" t="s">
        <v>37</v>
      </c>
      <c r="I162">
        <v>0</v>
      </c>
      <c r="J162" t="s">
        <v>37</v>
      </c>
      <c r="K162">
        <v>22084.96513</v>
      </c>
      <c r="L162" t="s">
        <v>27</v>
      </c>
      <c r="M162" t="str">
        <f t="shared" si="6"/>
        <v>controlfree-ranging domestic</v>
      </c>
      <c r="N162" t="s">
        <v>28</v>
      </c>
      <c r="O162" t="s">
        <v>130</v>
      </c>
      <c r="P162" t="s">
        <v>166</v>
      </c>
      <c r="Q162" t="s">
        <v>16</v>
      </c>
    </row>
    <row r="163" spans="1:17" x14ac:dyDescent="0.2">
      <c r="A163" t="s">
        <v>959</v>
      </c>
      <c r="B163">
        <v>0</v>
      </c>
      <c r="C163">
        <v>922119914.29999995</v>
      </c>
      <c r="D163">
        <v>5532719.4859999996</v>
      </c>
      <c r="E163">
        <v>1106543897</v>
      </c>
      <c r="F163" t="s">
        <v>33</v>
      </c>
      <c r="G163" t="s">
        <v>36</v>
      </c>
      <c r="H163" t="s">
        <v>38</v>
      </c>
      <c r="I163">
        <v>5481864524</v>
      </c>
      <c r="J163" t="s">
        <v>38</v>
      </c>
      <c r="K163">
        <v>6899868.2879999997</v>
      </c>
      <c r="L163" t="s">
        <v>27</v>
      </c>
      <c r="M163" t="str">
        <f t="shared" si="6"/>
        <v>controlfree-ranging domestic</v>
      </c>
      <c r="N163" t="s">
        <v>28</v>
      </c>
      <c r="O163" t="s">
        <v>130</v>
      </c>
      <c r="P163" t="s">
        <v>166</v>
      </c>
      <c r="Q163" t="s">
        <v>16</v>
      </c>
    </row>
    <row r="164" spans="1:17" x14ac:dyDescent="0.2">
      <c r="A164" t="s">
        <v>169</v>
      </c>
      <c r="B164">
        <v>0</v>
      </c>
      <c r="C164" t="s">
        <v>16</v>
      </c>
      <c r="D164">
        <v>0</v>
      </c>
      <c r="E164">
        <v>0</v>
      </c>
      <c r="F164" t="s">
        <v>17</v>
      </c>
      <c r="G164" t="s">
        <v>36</v>
      </c>
      <c r="H164" t="s">
        <v>38</v>
      </c>
      <c r="I164">
        <v>167942678.80000001</v>
      </c>
      <c r="J164" t="s">
        <v>38</v>
      </c>
      <c r="K164">
        <v>12477114.6</v>
      </c>
      <c r="L164" t="s">
        <v>27</v>
      </c>
      <c r="M164" t="str">
        <f t="shared" si="6"/>
        <v>controlfree-ranging domestic</v>
      </c>
      <c r="N164" t="s">
        <v>28</v>
      </c>
      <c r="O164" t="s">
        <v>130</v>
      </c>
      <c r="P164" t="s">
        <v>166</v>
      </c>
      <c r="Q164" t="s">
        <v>16</v>
      </c>
    </row>
    <row r="165" spans="1:17" x14ac:dyDescent="0.2">
      <c r="A165" t="s">
        <v>170</v>
      </c>
      <c r="B165">
        <v>7.3590586E-2</v>
      </c>
      <c r="C165" t="s">
        <v>16</v>
      </c>
      <c r="D165">
        <v>0</v>
      </c>
      <c r="E165">
        <v>0</v>
      </c>
      <c r="F165" t="s">
        <v>19</v>
      </c>
      <c r="G165" t="s">
        <v>41</v>
      </c>
      <c r="H165" t="s">
        <v>16</v>
      </c>
      <c r="I165" t="s">
        <v>16</v>
      </c>
      <c r="J165" t="s">
        <v>16</v>
      </c>
      <c r="K165" t="s">
        <v>16</v>
      </c>
      <c r="L165" t="s">
        <v>27</v>
      </c>
      <c r="M165" t="str">
        <f t="shared" si="6"/>
        <v>challengedfree-ranging domestic</v>
      </c>
      <c r="N165" t="s">
        <v>28</v>
      </c>
      <c r="O165" t="s">
        <v>130</v>
      </c>
      <c r="P165" t="s">
        <v>166</v>
      </c>
      <c r="Q165">
        <v>0</v>
      </c>
    </row>
    <row r="166" spans="1:17" x14ac:dyDescent="0.2">
      <c r="A166" t="s">
        <v>960</v>
      </c>
      <c r="B166">
        <v>0.18468831499999999</v>
      </c>
      <c r="C166">
        <v>456822043.69999999</v>
      </c>
      <c r="D166">
        <v>27409322.620000001</v>
      </c>
      <c r="E166">
        <v>5481864524</v>
      </c>
      <c r="F166" t="s">
        <v>33</v>
      </c>
      <c r="G166" t="s">
        <v>41</v>
      </c>
      <c r="H166" t="s">
        <v>16</v>
      </c>
      <c r="I166" t="s">
        <v>16</v>
      </c>
      <c r="J166" t="s">
        <v>16</v>
      </c>
      <c r="K166" t="s">
        <v>16</v>
      </c>
      <c r="L166" t="s">
        <v>27</v>
      </c>
      <c r="M166" t="str">
        <f t="shared" si="6"/>
        <v>challengedfree-ranging domestic</v>
      </c>
      <c r="N166" t="s">
        <v>28</v>
      </c>
      <c r="O166" t="s">
        <v>130</v>
      </c>
      <c r="P166" t="s">
        <v>166</v>
      </c>
      <c r="Q166">
        <v>26569609.23</v>
      </c>
    </row>
    <row r="167" spans="1:17" x14ac:dyDescent="0.2">
      <c r="A167" t="s">
        <v>171</v>
      </c>
      <c r="B167">
        <v>0.18262141700000001</v>
      </c>
      <c r="C167">
        <v>13995223.23</v>
      </c>
      <c r="D167">
        <v>839713.39410000003</v>
      </c>
      <c r="E167">
        <v>167942678.80000001</v>
      </c>
      <c r="F167" t="s">
        <v>17</v>
      </c>
      <c r="G167" t="s">
        <v>41</v>
      </c>
      <c r="H167" t="s">
        <v>16</v>
      </c>
      <c r="I167" t="s">
        <v>16</v>
      </c>
      <c r="J167" t="s">
        <v>16</v>
      </c>
      <c r="K167" t="s">
        <v>16</v>
      </c>
      <c r="L167" t="s">
        <v>27</v>
      </c>
      <c r="M167" t="str">
        <f t="shared" si="6"/>
        <v>challengedfree-ranging domestic</v>
      </c>
      <c r="N167" t="s">
        <v>28</v>
      </c>
      <c r="O167" t="s">
        <v>130</v>
      </c>
      <c r="P167" t="s">
        <v>166</v>
      </c>
      <c r="Q167">
        <v>839713.39410000003</v>
      </c>
    </row>
    <row r="168" spans="1:17" x14ac:dyDescent="0.2">
      <c r="A168" t="s">
        <v>172</v>
      </c>
      <c r="B168" t="s">
        <v>16</v>
      </c>
      <c r="C168" t="s">
        <v>16</v>
      </c>
      <c r="D168" t="s">
        <v>16</v>
      </c>
      <c r="E168" t="s">
        <v>16</v>
      </c>
      <c r="F168" t="s">
        <v>26</v>
      </c>
      <c r="G168" t="s">
        <v>26</v>
      </c>
      <c r="H168" t="s">
        <v>16</v>
      </c>
      <c r="I168" t="s">
        <v>16</v>
      </c>
      <c r="J168" t="s">
        <v>16</v>
      </c>
      <c r="K168" t="s">
        <v>16</v>
      </c>
      <c r="L168" t="s">
        <v>27</v>
      </c>
      <c r="M168" t="str">
        <f t="shared" si="6"/>
        <v>fecalfree-ranging domestic</v>
      </c>
      <c r="N168" t="s">
        <v>28</v>
      </c>
      <c r="O168" t="s">
        <v>130</v>
      </c>
      <c r="P168" t="s">
        <v>173</v>
      </c>
      <c r="Q168" t="s">
        <v>16</v>
      </c>
    </row>
    <row r="169" spans="1:17" x14ac:dyDescent="0.2">
      <c r="A169" t="s">
        <v>174</v>
      </c>
      <c r="B169">
        <v>0.11710941699999999</v>
      </c>
      <c r="C169">
        <v>1015.991613</v>
      </c>
      <c r="D169">
        <v>94.073297510000003</v>
      </c>
      <c r="E169">
        <v>18814.659500000002</v>
      </c>
      <c r="F169" t="s">
        <v>19</v>
      </c>
      <c r="G169" t="s">
        <v>32</v>
      </c>
      <c r="H169" t="s">
        <v>16</v>
      </c>
      <c r="I169" t="s">
        <v>16</v>
      </c>
      <c r="J169" t="s">
        <v>16</v>
      </c>
      <c r="K169" t="s">
        <v>16</v>
      </c>
      <c r="L169" t="s">
        <v>27</v>
      </c>
      <c r="M169" t="str">
        <f t="shared" si="6"/>
        <v>abx_challengedfree-ranging domestic</v>
      </c>
      <c r="N169" t="s">
        <v>28</v>
      </c>
      <c r="O169" t="s">
        <v>130</v>
      </c>
      <c r="P169" t="s">
        <v>173</v>
      </c>
      <c r="Q169">
        <v>94.073297510000003</v>
      </c>
    </row>
    <row r="170" spans="1:17" x14ac:dyDescent="0.2">
      <c r="A170" t="s">
        <v>961</v>
      </c>
      <c r="B170">
        <v>7.4977794E-2</v>
      </c>
      <c r="C170">
        <v>47518244.869999997</v>
      </c>
      <c r="D170">
        <v>95036.489740000005</v>
      </c>
      <c r="E170">
        <v>19007297.949999999</v>
      </c>
      <c r="F170" t="s">
        <v>33</v>
      </c>
      <c r="G170" t="s">
        <v>32</v>
      </c>
      <c r="H170" t="s">
        <v>16</v>
      </c>
      <c r="I170" t="s">
        <v>16</v>
      </c>
      <c r="J170" t="s">
        <v>16</v>
      </c>
      <c r="K170" t="s">
        <v>16</v>
      </c>
      <c r="L170" t="s">
        <v>27</v>
      </c>
      <c r="M170" t="str">
        <f t="shared" si="6"/>
        <v>abx_challengedfree-ranging domestic</v>
      </c>
      <c r="N170" t="s">
        <v>28</v>
      </c>
      <c r="O170" t="s">
        <v>130</v>
      </c>
      <c r="P170" t="s">
        <v>173</v>
      </c>
      <c r="Q170">
        <v>95036.489740000005</v>
      </c>
    </row>
    <row r="171" spans="1:17" x14ac:dyDescent="0.2">
      <c r="A171" t="s">
        <v>175</v>
      </c>
      <c r="B171">
        <v>0.19754355200000001</v>
      </c>
      <c r="C171">
        <v>13469638.92</v>
      </c>
      <c r="D171">
        <v>80817.83352</v>
      </c>
      <c r="E171">
        <v>16163566.699999999</v>
      </c>
      <c r="F171" t="s">
        <v>17</v>
      </c>
      <c r="G171" t="s">
        <v>32</v>
      </c>
      <c r="H171" t="s">
        <v>16</v>
      </c>
      <c r="I171" t="s">
        <v>16</v>
      </c>
      <c r="J171" t="s">
        <v>16</v>
      </c>
      <c r="K171" t="s">
        <v>16</v>
      </c>
      <c r="L171" t="s">
        <v>27</v>
      </c>
      <c r="M171" t="str">
        <f t="shared" si="6"/>
        <v>abx_challengedfree-ranging domestic</v>
      </c>
      <c r="N171" t="s">
        <v>28</v>
      </c>
      <c r="O171" t="s">
        <v>130</v>
      </c>
      <c r="P171" t="s">
        <v>173</v>
      </c>
      <c r="Q171">
        <v>80817.83352</v>
      </c>
    </row>
    <row r="172" spans="1:17" x14ac:dyDescent="0.2">
      <c r="A172" t="s">
        <v>176</v>
      </c>
      <c r="B172">
        <v>0</v>
      </c>
      <c r="C172" t="s">
        <v>16</v>
      </c>
      <c r="D172">
        <v>0</v>
      </c>
      <c r="E172">
        <v>0</v>
      </c>
      <c r="F172" t="s">
        <v>19</v>
      </c>
      <c r="G172" t="s">
        <v>36</v>
      </c>
      <c r="H172" t="s">
        <v>37</v>
      </c>
      <c r="I172">
        <v>0</v>
      </c>
      <c r="J172" t="s">
        <v>37</v>
      </c>
      <c r="K172">
        <v>18814.659500000002</v>
      </c>
      <c r="L172" t="s">
        <v>27</v>
      </c>
      <c r="M172" t="str">
        <f t="shared" si="6"/>
        <v>controlfree-ranging domestic</v>
      </c>
      <c r="N172" t="s">
        <v>28</v>
      </c>
      <c r="O172" t="s">
        <v>130</v>
      </c>
      <c r="P172" t="s">
        <v>173</v>
      </c>
      <c r="Q172" t="s">
        <v>16</v>
      </c>
    </row>
    <row r="173" spans="1:17" x14ac:dyDescent="0.2">
      <c r="A173" t="s">
        <v>962</v>
      </c>
      <c r="B173">
        <v>0</v>
      </c>
      <c r="C173">
        <v>339905631.39999998</v>
      </c>
      <c r="D173">
        <v>2039433.7879999999</v>
      </c>
      <c r="E173">
        <v>407886757.69999999</v>
      </c>
      <c r="F173" t="s">
        <v>33</v>
      </c>
      <c r="G173" t="s">
        <v>36</v>
      </c>
      <c r="H173" t="s">
        <v>38</v>
      </c>
      <c r="I173">
        <v>5488348243</v>
      </c>
      <c r="J173" t="s">
        <v>38</v>
      </c>
      <c r="K173">
        <v>19007297.949999999</v>
      </c>
      <c r="L173" t="s">
        <v>27</v>
      </c>
      <c r="M173" t="str">
        <f t="shared" si="6"/>
        <v>controlfree-ranging domestic</v>
      </c>
      <c r="N173" t="s">
        <v>28</v>
      </c>
      <c r="O173" t="s">
        <v>130</v>
      </c>
      <c r="P173" t="s">
        <v>173</v>
      </c>
      <c r="Q173" t="s">
        <v>16</v>
      </c>
    </row>
    <row r="174" spans="1:17" x14ac:dyDescent="0.2">
      <c r="A174" t="s">
        <v>177</v>
      </c>
      <c r="B174">
        <v>0</v>
      </c>
      <c r="C174" t="s">
        <v>16</v>
      </c>
      <c r="D174">
        <v>0</v>
      </c>
      <c r="E174">
        <v>0</v>
      </c>
      <c r="F174" t="s">
        <v>17</v>
      </c>
      <c r="G174" t="s">
        <v>36</v>
      </c>
      <c r="H174" t="s">
        <v>38</v>
      </c>
      <c r="I174">
        <v>23761050.539999999</v>
      </c>
      <c r="J174" t="s">
        <v>38</v>
      </c>
      <c r="K174">
        <v>16163566.699999999</v>
      </c>
      <c r="L174" t="s">
        <v>27</v>
      </c>
      <c r="M174" t="str">
        <f t="shared" si="6"/>
        <v>controlfree-ranging domestic</v>
      </c>
      <c r="N174" t="s">
        <v>28</v>
      </c>
      <c r="O174" t="s">
        <v>130</v>
      </c>
      <c r="P174" t="s">
        <v>173</v>
      </c>
      <c r="Q174" t="s">
        <v>16</v>
      </c>
    </row>
    <row r="175" spans="1:17" x14ac:dyDescent="0.2">
      <c r="A175" t="s">
        <v>178</v>
      </c>
      <c r="B175">
        <v>7.8376185000000001E-2</v>
      </c>
      <c r="C175">
        <v>40.147851580000001</v>
      </c>
      <c r="D175">
        <v>0</v>
      </c>
      <c r="E175">
        <v>0</v>
      </c>
      <c r="F175" t="s">
        <v>19</v>
      </c>
      <c r="G175" t="s">
        <v>41</v>
      </c>
      <c r="H175" t="s">
        <v>16</v>
      </c>
      <c r="I175" t="s">
        <v>16</v>
      </c>
      <c r="J175" t="s">
        <v>16</v>
      </c>
      <c r="K175" t="s">
        <v>16</v>
      </c>
      <c r="L175" t="s">
        <v>27</v>
      </c>
      <c r="M175" t="str">
        <f t="shared" si="6"/>
        <v>challengedfree-ranging domestic</v>
      </c>
      <c r="N175" t="s">
        <v>28</v>
      </c>
      <c r="O175" t="s">
        <v>130</v>
      </c>
      <c r="P175" t="s">
        <v>173</v>
      </c>
      <c r="Q175">
        <v>0</v>
      </c>
    </row>
    <row r="176" spans="1:17" x14ac:dyDescent="0.2">
      <c r="A176" t="s">
        <v>963</v>
      </c>
      <c r="B176">
        <v>0.15369392300000001</v>
      </c>
      <c r="C176">
        <v>457362353.60000002</v>
      </c>
      <c r="D176">
        <v>27441741.210000001</v>
      </c>
      <c r="E176">
        <v>5488348243</v>
      </c>
      <c r="F176" t="s">
        <v>33</v>
      </c>
      <c r="G176" t="s">
        <v>41</v>
      </c>
      <c r="H176" t="s">
        <v>16</v>
      </c>
      <c r="I176" t="s">
        <v>16</v>
      </c>
      <c r="J176" t="s">
        <v>16</v>
      </c>
      <c r="K176" t="s">
        <v>16</v>
      </c>
      <c r="L176" t="s">
        <v>27</v>
      </c>
      <c r="M176" t="str">
        <f t="shared" si="6"/>
        <v>challengedfree-ranging domestic</v>
      </c>
      <c r="N176" t="s">
        <v>28</v>
      </c>
      <c r="O176" t="s">
        <v>130</v>
      </c>
      <c r="P176" t="s">
        <v>173</v>
      </c>
      <c r="Q176">
        <v>27322935.960000001</v>
      </c>
    </row>
    <row r="177" spans="1:17" x14ac:dyDescent="0.2">
      <c r="A177" t="s">
        <v>179</v>
      </c>
      <c r="B177">
        <v>0.24019648699999999</v>
      </c>
      <c r="C177">
        <v>1980087.5449999999</v>
      </c>
      <c r="D177">
        <v>118805.2527</v>
      </c>
      <c r="E177">
        <v>23761050.539999999</v>
      </c>
      <c r="F177" t="s">
        <v>17</v>
      </c>
      <c r="G177" t="s">
        <v>41</v>
      </c>
      <c r="H177" t="s">
        <v>16</v>
      </c>
      <c r="I177" t="s">
        <v>16</v>
      </c>
      <c r="J177" t="s">
        <v>16</v>
      </c>
      <c r="K177" t="s">
        <v>16</v>
      </c>
      <c r="L177" t="s">
        <v>27</v>
      </c>
      <c r="M177" t="str">
        <f t="shared" si="6"/>
        <v>challengedfree-ranging domestic</v>
      </c>
      <c r="N177" t="s">
        <v>28</v>
      </c>
      <c r="O177" t="s">
        <v>130</v>
      </c>
      <c r="P177" t="s">
        <v>173</v>
      </c>
      <c r="Q177">
        <v>118805.2527</v>
      </c>
    </row>
    <row r="178" spans="1:17" x14ac:dyDescent="0.2">
      <c r="A178" t="s">
        <v>180</v>
      </c>
      <c r="B178">
        <v>0.123547398</v>
      </c>
      <c r="C178">
        <v>169.58323633349568</v>
      </c>
      <c r="D178">
        <v>15.702151512360709</v>
      </c>
      <c r="E178">
        <f>D178*200</f>
        <v>3140.4303024721416</v>
      </c>
      <c r="F178" t="s">
        <v>19</v>
      </c>
      <c r="G178" t="s">
        <v>32</v>
      </c>
      <c r="H178" t="s">
        <v>16</v>
      </c>
      <c r="I178" t="s">
        <v>16</v>
      </c>
      <c r="J178" t="s">
        <v>16</v>
      </c>
      <c r="K178" t="s">
        <v>16</v>
      </c>
      <c r="L178" t="s">
        <v>27</v>
      </c>
      <c r="M178" t="str">
        <f t="shared" si="6"/>
        <v>abx_challengedfree-ranging domestic</v>
      </c>
      <c r="N178" t="s">
        <v>28</v>
      </c>
      <c r="O178" t="s">
        <v>130</v>
      </c>
      <c r="P178" t="s">
        <v>181</v>
      </c>
      <c r="Q178">
        <v>3140.4303020000002</v>
      </c>
    </row>
    <row r="179" spans="1:17" x14ac:dyDescent="0.2">
      <c r="A179" t="s">
        <v>182</v>
      </c>
      <c r="B179">
        <v>0</v>
      </c>
      <c r="C179" t="s">
        <v>16</v>
      </c>
      <c r="D179">
        <v>0</v>
      </c>
      <c r="E179">
        <f t="shared" ref="E179:E180" si="7">D179*200</f>
        <v>0</v>
      </c>
      <c r="F179" t="s">
        <v>19</v>
      </c>
      <c r="G179" t="s">
        <v>36</v>
      </c>
      <c r="H179" t="s">
        <v>37</v>
      </c>
      <c r="I179">
        <v>0</v>
      </c>
      <c r="J179" t="s">
        <v>37</v>
      </c>
      <c r="K179">
        <v>3140.4303020000002</v>
      </c>
      <c r="L179" t="s">
        <v>27</v>
      </c>
      <c r="M179" t="str">
        <f t="shared" si="6"/>
        <v>controlfree-ranging domestic</v>
      </c>
      <c r="N179" t="s">
        <v>28</v>
      </c>
      <c r="O179" t="s">
        <v>130</v>
      </c>
      <c r="P179" t="s">
        <v>181</v>
      </c>
      <c r="Q179" t="s">
        <v>16</v>
      </c>
    </row>
    <row r="180" spans="1:17" x14ac:dyDescent="0.2">
      <c r="A180" t="s">
        <v>183</v>
      </c>
      <c r="B180">
        <v>5.4741130999999998E-2</v>
      </c>
      <c r="C180" t="s">
        <v>16</v>
      </c>
      <c r="D180">
        <v>0</v>
      </c>
      <c r="E180">
        <f t="shared" si="7"/>
        <v>0</v>
      </c>
      <c r="F180" t="s">
        <v>19</v>
      </c>
      <c r="G180" t="s">
        <v>41</v>
      </c>
      <c r="H180" t="s">
        <v>16</v>
      </c>
      <c r="I180" t="s">
        <v>16</v>
      </c>
      <c r="J180" t="s">
        <v>16</v>
      </c>
      <c r="K180" t="s">
        <v>16</v>
      </c>
      <c r="L180" t="s">
        <v>27</v>
      </c>
      <c r="M180" t="str">
        <f t="shared" si="6"/>
        <v>challengedfree-ranging domestic</v>
      </c>
      <c r="N180" t="s">
        <v>28</v>
      </c>
      <c r="O180" t="s">
        <v>130</v>
      </c>
      <c r="P180" t="s">
        <v>181</v>
      </c>
      <c r="Q180">
        <v>0</v>
      </c>
    </row>
    <row r="181" spans="1:17" x14ac:dyDescent="0.2">
      <c r="A181" t="s">
        <v>184</v>
      </c>
      <c r="B181" t="s">
        <v>16</v>
      </c>
      <c r="C181" t="s">
        <v>16</v>
      </c>
      <c r="D181" t="s">
        <v>16</v>
      </c>
      <c r="E181" t="s">
        <v>16</v>
      </c>
      <c r="F181" t="s">
        <v>26</v>
      </c>
      <c r="G181" t="s">
        <v>26</v>
      </c>
      <c r="H181" t="s">
        <v>16</v>
      </c>
      <c r="I181" t="s">
        <v>16</v>
      </c>
      <c r="J181" t="s">
        <v>16</v>
      </c>
      <c r="K181" t="s">
        <v>16</v>
      </c>
      <c r="L181" t="s">
        <v>27</v>
      </c>
      <c r="M181" t="str">
        <f t="shared" si="6"/>
        <v>fecalfree-ranging domestic</v>
      </c>
      <c r="N181" t="s">
        <v>28</v>
      </c>
      <c r="O181" t="s">
        <v>130</v>
      </c>
      <c r="P181" t="s">
        <v>185</v>
      </c>
      <c r="Q181" t="s">
        <v>16</v>
      </c>
    </row>
    <row r="182" spans="1:17" x14ac:dyDescent="0.2">
      <c r="A182" t="s">
        <v>186</v>
      </c>
      <c r="B182">
        <v>0.12163307900000001</v>
      </c>
      <c r="C182">
        <v>702.58292159999996</v>
      </c>
      <c r="D182">
        <v>65.053974220000001</v>
      </c>
      <c r="E182">
        <v>13010.79484</v>
      </c>
      <c r="F182" t="s">
        <v>19</v>
      </c>
      <c r="G182" t="s">
        <v>32</v>
      </c>
      <c r="H182" t="s">
        <v>16</v>
      </c>
      <c r="I182" t="s">
        <v>16</v>
      </c>
      <c r="J182" t="s">
        <v>16</v>
      </c>
      <c r="K182" t="s">
        <v>16</v>
      </c>
      <c r="L182" t="s">
        <v>27</v>
      </c>
      <c r="M182" t="str">
        <f t="shared" si="6"/>
        <v>abx_challengedfree-ranging domestic</v>
      </c>
      <c r="N182" t="s">
        <v>28</v>
      </c>
      <c r="O182" t="s">
        <v>130</v>
      </c>
      <c r="P182" t="s">
        <v>185</v>
      </c>
      <c r="Q182">
        <v>65.053974220000001</v>
      </c>
    </row>
    <row r="183" spans="1:17" x14ac:dyDescent="0.2">
      <c r="A183" t="s">
        <v>964</v>
      </c>
      <c r="B183">
        <v>0.11266190600000001</v>
      </c>
      <c r="C183">
        <v>12703797.35</v>
      </c>
      <c r="D183">
        <v>25407.594700000001</v>
      </c>
      <c r="E183">
        <v>5081518.9400000004</v>
      </c>
      <c r="F183" t="s">
        <v>33</v>
      </c>
      <c r="G183" t="s">
        <v>32</v>
      </c>
      <c r="H183" t="s">
        <v>16</v>
      </c>
      <c r="I183" t="s">
        <v>16</v>
      </c>
      <c r="J183" t="s">
        <v>16</v>
      </c>
      <c r="K183" t="s">
        <v>16</v>
      </c>
      <c r="L183" t="s">
        <v>27</v>
      </c>
      <c r="M183" t="str">
        <f t="shared" si="6"/>
        <v>abx_challengedfree-ranging domestic</v>
      </c>
      <c r="N183" t="s">
        <v>28</v>
      </c>
      <c r="O183" t="s">
        <v>130</v>
      </c>
      <c r="P183" t="s">
        <v>185</v>
      </c>
      <c r="Q183">
        <v>25407.594700000001</v>
      </c>
    </row>
    <row r="184" spans="1:17" x14ac:dyDescent="0.2">
      <c r="A184" t="s">
        <v>187</v>
      </c>
      <c r="B184">
        <v>0.21667823899999999</v>
      </c>
      <c r="C184">
        <v>859703.37820000004</v>
      </c>
      <c r="D184">
        <v>5158.2202690000004</v>
      </c>
      <c r="E184">
        <v>1031644.054</v>
      </c>
      <c r="F184" t="s">
        <v>17</v>
      </c>
      <c r="G184" t="s">
        <v>32</v>
      </c>
      <c r="H184" t="s">
        <v>16</v>
      </c>
      <c r="I184" t="s">
        <v>16</v>
      </c>
      <c r="J184" t="s">
        <v>16</v>
      </c>
      <c r="K184" t="s">
        <v>16</v>
      </c>
      <c r="L184" t="s">
        <v>27</v>
      </c>
      <c r="M184" t="str">
        <f t="shared" si="6"/>
        <v>abx_challengedfree-ranging domestic</v>
      </c>
      <c r="N184" t="s">
        <v>28</v>
      </c>
      <c r="O184" t="s">
        <v>130</v>
      </c>
      <c r="P184" t="s">
        <v>185</v>
      </c>
      <c r="Q184">
        <v>5158.2202690000004</v>
      </c>
    </row>
    <row r="185" spans="1:17" x14ac:dyDescent="0.2">
      <c r="A185" t="s">
        <v>188</v>
      </c>
      <c r="B185" s="1">
        <v>0</v>
      </c>
      <c r="C185" t="s">
        <v>16</v>
      </c>
      <c r="D185">
        <v>0</v>
      </c>
      <c r="E185">
        <v>0</v>
      </c>
      <c r="F185" t="s">
        <v>19</v>
      </c>
      <c r="G185" t="s">
        <v>36</v>
      </c>
      <c r="H185" t="s">
        <v>37</v>
      </c>
      <c r="I185">
        <v>0</v>
      </c>
      <c r="J185" t="s">
        <v>37</v>
      </c>
      <c r="K185">
        <v>13010.79484</v>
      </c>
      <c r="L185" t="s">
        <v>27</v>
      </c>
      <c r="M185" t="str">
        <f t="shared" si="6"/>
        <v>controlfree-ranging domestic</v>
      </c>
      <c r="N185" t="s">
        <v>28</v>
      </c>
      <c r="O185" t="s">
        <v>130</v>
      </c>
      <c r="P185" t="s">
        <v>185</v>
      </c>
      <c r="Q185" t="s">
        <v>16</v>
      </c>
    </row>
    <row r="186" spans="1:17" x14ac:dyDescent="0.2">
      <c r="A186" t="s">
        <v>965</v>
      </c>
      <c r="B186" s="1">
        <v>0</v>
      </c>
      <c r="C186">
        <v>42813020.859999999</v>
      </c>
      <c r="D186">
        <v>256878.1251</v>
      </c>
      <c r="E186">
        <v>51375625.030000001</v>
      </c>
      <c r="F186" t="s">
        <v>33</v>
      </c>
      <c r="G186" t="s">
        <v>36</v>
      </c>
      <c r="H186" t="s">
        <v>38</v>
      </c>
      <c r="I186">
        <v>1040824250</v>
      </c>
      <c r="J186" t="s">
        <v>38</v>
      </c>
      <c r="K186">
        <v>5081518.9400000004</v>
      </c>
      <c r="L186" t="s">
        <v>27</v>
      </c>
      <c r="M186" t="str">
        <f t="shared" si="6"/>
        <v>controlfree-ranging domestic</v>
      </c>
      <c r="N186" t="s">
        <v>28</v>
      </c>
      <c r="O186" t="s">
        <v>130</v>
      </c>
      <c r="P186" t="s">
        <v>185</v>
      </c>
      <c r="Q186" t="s">
        <v>16</v>
      </c>
    </row>
    <row r="187" spans="1:17" x14ac:dyDescent="0.2">
      <c r="A187" t="s">
        <v>189</v>
      </c>
      <c r="B187" s="1">
        <v>0</v>
      </c>
      <c r="C187" t="s">
        <v>16</v>
      </c>
      <c r="D187">
        <v>0</v>
      </c>
      <c r="E187">
        <v>0</v>
      </c>
      <c r="F187" t="s">
        <v>17</v>
      </c>
      <c r="G187" t="s">
        <v>36</v>
      </c>
      <c r="H187" t="s">
        <v>37</v>
      </c>
      <c r="I187">
        <v>265325.1164</v>
      </c>
      <c r="J187" t="s">
        <v>38</v>
      </c>
      <c r="K187">
        <v>1031644.054</v>
      </c>
      <c r="L187" t="s">
        <v>27</v>
      </c>
      <c r="M187" t="str">
        <f t="shared" si="6"/>
        <v>controlfree-ranging domestic</v>
      </c>
      <c r="N187" t="s">
        <v>28</v>
      </c>
      <c r="O187" t="s">
        <v>130</v>
      </c>
      <c r="P187" t="s">
        <v>185</v>
      </c>
      <c r="Q187" t="s">
        <v>16</v>
      </c>
    </row>
    <row r="188" spans="1:17" x14ac:dyDescent="0.2">
      <c r="A188" t="s">
        <v>190</v>
      </c>
      <c r="B188">
        <v>8.7774817000000005E-2</v>
      </c>
      <c r="C188">
        <v>7.5798196029999998</v>
      </c>
      <c r="D188">
        <v>0</v>
      </c>
      <c r="E188">
        <v>0</v>
      </c>
      <c r="F188" t="s">
        <v>19</v>
      </c>
      <c r="G188" t="s">
        <v>41</v>
      </c>
      <c r="H188" t="s">
        <v>16</v>
      </c>
      <c r="I188" t="s">
        <v>16</v>
      </c>
      <c r="J188" t="s">
        <v>16</v>
      </c>
      <c r="K188" t="s">
        <v>16</v>
      </c>
      <c r="L188" t="s">
        <v>27</v>
      </c>
      <c r="M188" t="str">
        <f t="shared" si="6"/>
        <v>challengedfree-ranging domestic</v>
      </c>
      <c r="N188" t="s">
        <v>28</v>
      </c>
      <c r="O188" t="s">
        <v>130</v>
      </c>
      <c r="P188" t="s">
        <v>185</v>
      </c>
      <c r="Q188">
        <v>0</v>
      </c>
    </row>
    <row r="189" spans="1:17" x14ac:dyDescent="0.2">
      <c r="A189" t="s">
        <v>966</v>
      </c>
      <c r="B189">
        <v>0.19319768200000001</v>
      </c>
      <c r="C189">
        <v>86735354.170000002</v>
      </c>
      <c r="D189">
        <v>5204121.25</v>
      </c>
      <c r="E189">
        <v>1040824250</v>
      </c>
      <c r="F189" t="s">
        <v>33</v>
      </c>
      <c r="G189" t="s">
        <v>41</v>
      </c>
      <c r="H189" t="s">
        <v>16</v>
      </c>
      <c r="I189" t="s">
        <v>16</v>
      </c>
      <c r="J189" t="s">
        <v>16</v>
      </c>
      <c r="K189" t="s">
        <v>16</v>
      </c>
      <c r="L189" t="s">
        <v>27</v>
      </c>
      <c r="M189" t="str">
        <f t="shared" si="6"/>
        <v>challengedfree-ranging domestic</v>
      </c>
      <c r="N189" t="s">
        <v>28</v>
      </c>
      <c r="O189" t="s">
        <v>130</v>
      </c>
      <c r="P189" t="s">
        <v>185</v>
      </c>
      <c r="Q189">
        <v>5202794.625</v>
      </c>
    </row>
    <row r="190" spans="1:17" x14ac:dyDescent="0.2">
      <c r="A190" t="s">
        <v>191</v>
      </c>
      <c r="B190">
        <v>0.100227319</v>
      </c>
      <c r="C190">
        <v>22110.426360000001</v>
      </c>
      <c r="D190">
        <v>1326.6255819999999</v>
      </c>
      <c r="E190">
        <v>265325.1164</v>
      </c>
      <c r="F190" t="s">
        <v>17</v>
      </c>
      <c r="G190" t="s">
        <v>41</v>
      </c>
      <c r="H190" t="s">
        <v>16</v>
      </c>
      <c r="I190" t="s">
        <v>16</v>
      </c>
      <c r="J190" t="s">
        <v>16</v>
      </c>
      <c r="K190" t="s">
        <v>16</v>
      </c>
      <c r="L190" t="s">
        <v>27</v>
      </c>
      <c r="M190" t="str">
        <f t="shared" si="6"/>
        <v>challengedfree-ranging domestic</v>
      </c>
      <c r="N190" t="s">
        <v>28</v>
      </c>
      <c r="O190" t="s">
        <v>130</v>
      </c>
      <c r="P190" t="s">
        <v>185</v>
      </c>
      <c r="Q190">
        <v>1326.6255819999999</v>
      </c>
    </row>
    <row r="191" spans="1:17" x14ac:dyDescent="0.2">
      <c r="A191" t="s">
        <v>192</v>
      </c>
      <c r="B191">
        <v>0.207664762</v>
      </c>
      <c r="C191">
        <v>225.08814380000001</v>
      </c>
      <c r="D191">
        <v>20.841494789999999</v>
      </c>
      <c r="E191">
        <v>4168.2989589999997</v>
      </c>
      <c r="F191" t="s">
        <v>19</v>
      </c>
      <c r="G191" t="s">
        <v>32</v>
      </c>
      <c r="H191" t="s">
        <v>16</v>
      </c>
      <c r="I191" t="s">
        <v>16</v>
      </c>
      <c r="J191" t="s">
        <v>16</v>
      </c>
      <c r="K191" t="s">
        <v>16</v>
      </c>
      <c r="L191" t="s">
        <v>27</v>
      </c>
      <c r="M191" t="str">
        <f t="shared" si="6"/>
        <v>abx_challengedfree-ranging domestic</v>
      </c>
      <c r="N191" t="s">
        <v>28</v>
      </c>
      <c r="O191" t="s">
        <v>130</v>
      </c>
      <c r="P191" t="s">
        <v>193</v>
      </c>
      <c r="Q191">
        <v>20.841494789999999</v>
      </c>
    </row>
    <row r="192" spans="1:17" x14ac:dyDescent="0.2">
      <c r="A192" t="s">
        <v>967</v>
      </c>
      <c r="B192">
        <v>0.11709971800000001</v>
      </c>
      <c r="C192">
        <v>35833209.799999997</v>
      </c>
      <c r="D192">
        <v>71666.419590000005</v>
      </c>
      <c r="E192">
        <v>14333283.92</v>
      </c>
      <c r="F192" t="s">
        <v>33</v>
      </c>
      <c r="G192" t="s">
        <v>32</v>
      </c>
      <c r="H192" t="s">
        <v>16</v>
      </c>
      <c r="I192" t="s">
        <v>16</v>
      </c>
      <c r="J192" t="s">
        <v>16</v>
      </c>
      <c r="K192" t="s">
        <v>16</v>
      </c>
      <c r="L192" t="s">
        <v>27</v>
      </c>
      <c r="M192" t="str">
        <f t="shared" si="6"/>
        <v>abx_challengedfree-ranging domestic</v>
      </c>
      <c r="N192" t="s">
        <v>28</v>
      </c>
      <c r="O192" t="s">
        <v>130</v>
      </c>
      <c r="P192" t="s">
        <v>193</v>
      </c>
      <c r="Q192">
        <v>71666.419590000005</v>
      </c>
    </row>
    <row r="193" spans="1:17" x14ac:dyDescent="0.2">
      <c r="A193" t="s">
        <v>194</v>
      </c>
      <c r="B193">
        <v>0.20390370199999999</v>
      </c>
      <c r="C193">
        <v>1204004.0789999999</v>
      </c>
      <c r="D193">
        <v>7224.0244720000001</v>
      </c>
      <c r="E193">
        <v>1444804.8940000001</v>
      </c>
      <c r="F193" t="s">
        <v>17</v>
      </c>
      <c r="G193" t="s">
        <v>32</v>
      </c>
      <c r="H193" t="s">
        <v>16</v>
      </c>
      <c r="I193" t="s">
        <v>16</v>
      </c>
      <c r="J193" t="s">
        <v>16</v>
      </c>
      <c r="K193" t="s">
        <v>16</v>
      </c>
      <c r="L193" t="s">
        <v>27</v>
      </c>
      <c r="M193" t="str">
        <f t="shared" si="6"/>
        <v>abx_challengedfree-ranging domestic</v>
      </c>
      <c r="N193" t="s">
        <v>28</v>
      </c>
      <c r="O193" t="s">
        <v>130</v>
      </c>
      <c r="P193" t="s">
        <v>193</v>
      </c>
      <c r="Q193">
        <v>7224.0244720000001</v>
      </c>
    </row>
    <row r="194" spans="1:17" x14ac:dyDescent="0.2">
      <c r="A194" t="s">
        <v>195</v>
      </c>
      <c r="B194" s="1">
        <v>0</v>
      </c>
      <c r="C194" t="s">
        <v>16</v>
      </c>
      <c r="D194">
        <v>0</v>
      </c>
      <c r="E194">
        <v>0</v>
      </c>
      <c r="F194" t="s">
        <v>19</v>
      </c>
      <c r="G194" t="s">
        <v>36</v>
      </c>
      <c r="H194" t="s">
        <v>37</v>
      </c>
      <c r="I194">
        <v>4055.5758190000001</v>
      </c>
      <c r="J194" t="s">
        <v>37</v>
      </c>
      <c r="K194">
        <v>4168.2989589999997</v>
      </c>
      <c r="L194" t="s">
        <v>27</v>
      </c>
      <c r="M194" t="str">
        <f t="shared" si="6"/>
        <v>controlfree-ranging domestic</v>
      </c>
      <c r="N194" t="s">
        <v>28</v>
      </c>
      <c r="O194" t="s">
        <v>130</v>
      </c>
      <c r="P194" t="s">
        <v>193</v>
      </c>
      <c r="Q194" t="s">
        <v>16</v>
      </c>
    </row>
    <row r="195" spans="1:17" x14ac:dyDescent="0.2">
      <c r="A195" t="s">
        <v>968</v>
      </c>
      <c r="B195" s="1">
        <v>0</v>
      </c>
      <c r="C195">
        <v>72735539.260000005</v>
      </c>
      <c r="D195">
        <v>436413.23560000001</v>
      </c>
      <c r="E195">
        <v>87282647.109999999</v>
      </c>
      <c r="F195" t="s">
        <v>33</v>
      </c>
      <c r="G195" t="s">
        <v>36</v>
      </c>
      <c r="H195" t="s">
        <v>38</v>
      </c>
      <c r="I195">
        <v>6033683160</v>
      </c>
      <c r="J195" t="s">
        <v>38</v>
      </c>
      <c r="K195">
        <v>14333283.92</v>
      </c>
      <c r="L195" t="s">
        <v>27</v>
      </c>
      <c r="M195" t="str">
        <f t="shared" si="6"/>
        <v>controlfree-ranging domestic</v>
      </c>
      <c r="N195" t="s">
        <v>28</v>
      </c>
      <c r="O195" t="s">
        <v>130</v>
      </c>
      <c r="P195" t="s">
        <v>193</v>
      </c>
      <c r="Q195" t="s">
        <v>16</v>
      </c>
    </row>
    <row r="196" spans="1:17" x14ac:dyDescent="0.2">
      <c r="A196" t="s">
        <v>196</v>
      </c>
      <c r="B196" s="1">
        <v>0</v>
      </c>
      <c r="C196" t="s">
        <v>16</v>
      </c>
      <c r="D196">
        <v>0</v>
      </c>
      <c r="E196">
        <v>0</v>
      </c>
      <c r="F196" t="s">
        <v>17</v>
      </c>
      <c r="G196" t="s">
        <v>36</v>
      </c>
      <c r="H196" t="s">
        <v>38</v>
      </c>
      <c r="I196">
        <v>6951461.358</v>
      </c>
      <c r="J196" t="s">
        <v>38</v>
      </c>
      <c r="K196">
        <v>1444804.8940000001</v>
      </c>
      <c r="L196" t="s">
        <v>27</v>
      </c>
      <c r="M196" t="str">
        <f t="shared" si="6"/>
        <v>controlfree-ranging domestic</v>
      </c>
      <c r="N196" t="s">
        <v>28</v>
      </c>
      <c r="O196" t="s">
        <v>130</v>
      </c>
      <c r="P196" t="s">
        <v>193</v>
      </c>
      <c r="Q196" t="s">
        <v>16</v>
      </c>
    </row>
    <row r="197" spans="1:17" x14ac:dyDescent="0.2">
      <c r="A197" t="s">
        <v>197</v>
      </c>
      <c r="B197">
        <v>3.4026101000000003E-2</v>
      </c>
      <c r="C197">
        <v>219.00109420000001</v>
      </c>
      <c r="D197">
        <v>20.2778791</v>
      </c>
      <c r="E197">
        <v>4055.5758190000001</v>
      </c>
      <c r="F197" t="s">
        <v>19</v>
      </c>
      <c r="G197" t="s">
        <v>41</v>
      </c>
      <c r="H197" t="s">
        <v>16</v>
      </c>
      <c r="I197" t="s">
        <v>16</v>
      </c>
      <c r="J197" t="s">
        <v>16</v>
      </c>
      <c r="K197" t="s">
        <v>16</v>
      </c>
      <c r="L197" t="s">
        <v>27</v>
      </c>
      <c r="M197" t="str">
        <f t="shared" si="6"/>
        <v>challengedfree-ranging domestic</v>
      </c>
      <c r="N197" t="s">
        <v>28</v>
      </c>
      <c r="O197" t="s">
        <v>130</v>
      </c>
      <c r="P197" t="s">
        <v>193</v>
      </c>
      <c r="Q197">
        <v>20.2778791</v>
      </c>
    </row>
    <row r="198" spans="1:17" x14ac:dyDescent="0.2">
      <c r="A198" t="s">
        <v>969</v>
      </c>
      <c r="B198">
        <v>0.10880577499999999</v>
      </c>
      <c r="C198">
        <v>502806930</v>
      </c>
      <c r="D198">
        <v>30168415.800000001</v>
      </c>
      <c r="E198">
        <v>6033683160</v>
      </c>
      <c r="F198" t="s">
        <v>33</v>
      </c>
      <c r="G198" t="s">
        <v>41</v>
      </c>
      <c r="H198" t="s">
        <v>16</v>
      </c>
      <c r="I198" t="s">
        <v>16</v>
      </c>
      <c r="J198" t="s">
        <v>16</v>
      </c>
      <c r="K198" t="s">
        <v>16</v>
      </c>
      <c r="L198" t="s">
        <v>27</v>
      </c>
      <c r="M198" t="str">
        <f t="shared" si="6"/>
        <v>challengedfree-ranging domestic</v>
      </c>
      <c r="N198" t="s">
        <v>28</v>
      </c>
      <c r="O198" t="s">
        <v>130</v>
      </c>
      <c r="P198" t="s">
        <v>193</v>
      </c>
      <c r="Q198">
        <v>30133658.489999998</v>
      </c>
    </row>
    <row r="199" spans="1:17" x14ac:dyDescent="0.2">
      <c r="A199" t="s">
        <v>198</v>
      </c>
      <c r="B199">
        <v>0.109680684</v>
      </c>
      <c r="C199">
        <v>579288.44649999996</v>
      </c>
      <c r="D199">
        <v>34757.306790000002</v>
      </c>
      <c r="E199">
        <v>6951461.358</v>
      </c>
      <c r="F199" t="s">
        <v>17</v>
      </c>
      <c r="G199" t="s">
        <v>41</v>
      </c>
      <c r="H199" t="s">
        <v>16</v>
      </c>
      <c r="I199" t="s">
        <v>16</v>
      </c>
      <c r="J199" t="s">
        <v>16</v>
      </c>
      <c r="K199" t="s">
        <v>16</v>
      </c>
      <c r="L199" t="s">
        <v>27</v>
      </c>
      <c r="M199" t="str">
        <f t="shared" si="6"/>
        <v>challengedfree-ranging domestic</v>
      </c>
      <c r="N199" t="s">
        <v>28</v>
      </c>
      <c r="O199" t="s">
        <v>130</v>
      </c>
      <c r="P199" t="s">
        <v>193</v>
      </c>
      <c r="Q199">
        <v>34757.306790000002</v>
      </c>
    </row>
    <row r="200" spans="1:17" x14ac:dyDescent="0.2">
      <c r="A200" t="s">
        <v>199</v>
      </c>
      <c r="B200" t="s">
        <v>16</v>
      </c>
      <c r="C200" t="s">
        <v>16</v>
      </c>
      <c r="D200" t="s">
        <v>16</v>
      </c>
      <c r="E200" t="s">
        <v>16</v>
      </c>
      <c r="F200" t="s">
        <v>26</v>
      </c>
      <c r="G200" t="s">
        <v>26</v>
      </c>
      <c r="H200" t="s">
        <v>16</v>
      </c>
      <c r="I200" t="s">
        <v>16</v>
      </c>
      <c r="J200" t="s">
        <v>16</v>
      </c>
      <c r="K200" t="s">
        <v>16</v>
      </c>
      <c r="L200" t="s">
        <v>27</v>
      </c>
      <c r="M200" t="str">
        <f t="shared" si="6"/>
        <v>fecalfree-ranging domestic</v>
      </c>
      <c r="N200" t="s">
        <v>28</v>
      </c>
      <c r="O200" t="s">
        <v>130</v>
      </c>
      <c r="P200" t="s">
        <v>200</v>
      </c>
      <c r="Q200" t="s">
        <v>16</v>
      </c>
    </row>
    <row r="201" spans="1:17" x14ac:dyDescent="0.2">
      <c r="A201" t="s">
        <v>201</v>
      </c>
      <c r="B201">
        <v>9.9260864000000004E-2</v>
      </c>
      <c r="C201">
        <v>263.58203020000002</v>
      </c>
      <c r="D201">
        <v>24.405743529999999</v>
      </c>
      <c r="E201">
        <v>4881.1487070000003</v>
      </c>
      <c r="F201" t="s">
        <v>19</v>
      </c>
      <c r="G201" t="s">
        <v>32</v>
      </c>
      <c r="H201" t="s">
        <v>16</v>
      </c>
      <c r="I201" t="s">
        <v>16</v>
      </c>
      <c r="J201" t="s">
        <v>16</v>
      </c>
      <c r="K201" t="s">
        <v>16</v>
      </c>
      <c r="L201" t="s">
        <v>27</v>
      </c>
      <c r="M201" t="str">
        <f t="shared" si="6"/>
        <v>abx_challengedfree-ranging domestic</v>
      </c>
      <c r="N201" t="s">
        <v>28</v>
      </c>
      <c r="O201" t="s">
        <v>130</v>
      </c>
      <c r="P201" t="s">
        <v>200</v>
      </c>
      <c r="Q201">
        <v>24.405743529999999</v>
      </c>
    </row>
    <row r="202" spans="1:17" x14ac:dyDescent="0.2">
      <c r="A202" t="s">
        <v>970</v>
      </c>
      <c r="B202">
        <v>0.133083121</v>
      </c>
      <c r="C202">
        <v>42276129.299999997</v>
      </c>
      <c r="D202">
        <v>84552.258600000001</v>
      </c>
      <c r="E202">
        <v>16910451.719999999</v>
      </c>
      <c r="F202" t="s">
        <v>33</v>
      </c>
      <c r="G202" t="s">
        <v>32</v>
      </c>
      <c r="H202" t="s">
        <v>16</v>
      </c>
      <c r="I202" t="s">
        <v>16</v>
      </c>
      <c r="J202" t="s">
        <v>16</v>
      </c>
      <c r="K202" t="s">
        <v>16</v>
      </c>
      <c r="L202" t="s">
        <v>27</v>
      </c>
      <c r="M202" t="str">
        <f t="shared" ref="M202:M265" si="8">CONCATENATE(G202, L202)</f>
        <v>abx_challengedfree-ranging domestic</v>
      </c>
      <c r="N202" t="s">
        <v>28</v>
      </c>
      <c r="O202" t="s">
        <v>130</v>
      </c>
      <c r="P202" t="s">
        <v>200</v>
      </c>
      <c r="Q202">
        <v>72664.442880000002</v>
      </c>
    </row>
    <row r="203" spans="1:17" x14ac:dyDescent="0.2">
      <c r="A203" t="s">
        <v>202</v>
      </c>
      <c r="B203">
        <v>0.20602938200000001</v>
      </c>
      <c r="C203">
        <v>1981302.621</v>
      </c>
      <c r="D203">
        <v>11887.81573</v>
      </c>
      <c r="E203">
        <v>2377563.145</v>
      </c>
      <c r="F203" t="s">
        <v>17</v>
      </c>
      <c r="G203" t="s">
        <v>32</v>
      </c>
      <c r="H203" t="s">
        <v>16</v>
      </c>
      <c r="I203" t="s">
        <v>16</v>
      </c>
      <c r="J203" t="s">
        <v>16</v>
      </c>
      <c r="K203" t="s">
        <v>16</v>
      </c>
      <c r="L203" t="s">
        <v>27</v>
      </c>
      <c r="M203" t="str">
        <f t="shared" si="8"/>
        <v>abx_challengedfree-ranging domestic</v>
      </c>
      <c r="N203" t="s">
        <v>28</v>
      </c>
      <c r="O203" t="s">
        <v>130</v>
      </c>
      <c r="P203" t="s">
        <v>200</v>
      </c>
      <c r="Q203">
        <v>11887.81573</v>
      </c>
    </row>
    <row r="204" spans="1:17" x14ac:dyDescent="0.2">
      <c r="A204" t="s">
        <v>203</v>
      </c>
      <c r="B204" s="1">
        <v>0</v>
      </c>
      <c r="C204">
        <v>13.77466864</v>
      </c>
      <c r="D204">
        <v>0</v>
      </c>
      <c r="E204">
        <v>0</v>
      </c>
      <c r="F204" t="s">
        <v>19</v>
      </c>
      <c r="G204" t="s">
        <v>36</v>
      </c>
      <c r="H204" t="s">
        <v>37</v>
      </c>
      <c r="I204">
        <v>0</v>
      </c>
      <c r="J204" t="s">
        <v>37</v>
      </c>
      <c r="K204">
        <v>4881.1487070000003</v>
      </c>
      <c r="L204" t="s">
        <v>27</v>
      </c>
      <c r="M204" t="str">
        <f t="shared" si="8"/>
        <v>controlfree-ranging domestic</v>
      </c>
      <c r="N204" t="s">
        <v>28</v>
      </c>
      <c r="O204" t="s">
        <v>130</v>
      </c>
      <c r="P204" t="s">
        <v>200</v>
      </c>
      <c r="Q204" t="s">
        <v>16</v>
      </c>
    </row>
    <row r="205" spans="1:17" x14ac:dyDescent="0.2">
      <c r="A205" t="s">
        <v>971</v>
      </c>
      <c r="B205" s="1">
        <v>0</v>
      </c>
      <c r="C205">
        <v>204092748.30000001</v>
      </c>
      <c r="D205">
        <v>1224556.49</v>
      </c>
      <c r="E205">
        <v>244911298</v>
      </c>
      <c r="F205" t="s">
        <v>33</v>
      </c>
      <c r="G205" t="s">
        <v>36</v>
      </c>
      <c r="H205" t="s">
        <v>38</v>
      </c>
      <c r="I205">
        <v>31684221699</v>
      </c>
      <c r="J205" t="s">
        <v>38</v>
      </c>
      <c r="K205">
        <v>16910451.719999999</v>
      </c>
      <c r="L205" t="s">
        <v>27</v>
      </c>
      <c r="M205" t="str">
        <f t="shared" si="8"/>
        <v>controlfree-ranging domestic</v>
      </c>
      <c r="N205" t="s">
        <v>28</v>
      </c>
      <c r="O205" t="s">
        <v>130</v>
      </c>
      <c r="P205" t="s">
        <v>200</v>
      </c>
      <c r="Q205" t="s">
        <v>16</v>
      </c>
    </row>
    <row r="206" spans="1:17" x14ac:dyDescent="0.2">
      <c r="A206" t="s">
        <v>204</v>
      </c>
      <c r="B206" s="1">
        <v>0</v>
      </c>
      <c r="C206" t="s">
        <v>16</v>
      </c>
      <c r="D206">
        <v>0</v>
      </c>
      <c r="E206">
        <v>0</v>
      </c>
      <c r="F206" t="s">
        <v>17</v>
      </c>
      <c r="G206" t="s">
        <v>36</v>
      </c>
      <c r="H206" t="s">
        <v>38</v>
      </c>
      <c r="I206">
        <v>45937048.5</v>
      </c>
      <c r="J206" t="s">
        <v>38</v>
      </c>
      <c r="K206">
        <v>2377563.145</v>
      </c>
      <c r="L206" t="s">
        <v>27</v>
      </c>
      <c r="M206" t="str">
        <f t="shared" si="8"/>
        <v>controlfree-ranging domestic</v>
      </c>
      <c r="N206" t="s">
        <v>28</v>
      </c>
      <c r="O206" t="s">
        <v>130</v>
      </c>
      <c r="P206" t="s">
        <v>200</v>
      </c>
      <c r="Q206" t="s">
        <v>16</v>
      </c>
    </row>
    <row r="207" spans="1:17" x14ac:dyDescent="0.2">
      <c r="A207" t="s">
        <v>205</v>
      </c>
      <c r="B207">
        <v>6.4688022999999997E-2</v>
      </c>
      <c r="C207">
        <v>1.4178694890000001</v>
      </c>
      <c r="D207">
        <v>0</v>
      </c>
      <c r="E207">
        <v>0</v>
      </c>
      <c r="F207" t="s">
        <v>19</v>
      </c>
      <c r="G207" t="s">
        <v>41</v>
      </c>
      <c r="H207" t="s">
        <v>16</v>
      </c>
      <c r="I207" t="s">
        <v>16</v>
      </c>
      <c r="J207" t="s">
        <v>16</v>
      </c>
      <c r="K207" t="s">
        <v>16</v>
      </c>
      <c r="L207" t="s">
        <v>27</v>
      </c>
      <c r="M207" t="str">
        <f t="shared" si="8"/>
        <v>challengedfree-ranging domestic</v>
      </c>
      <c r="N207" t="s">
        <v>28</v>
      </c>
      <c r="O207" t="s">
        <v>130</v>
      </c>
      <c r="P207" t="s">
        <v>200</v>
      </c>
      <c r="Q207">
        <v>0</v>
      </c>
    </row>
    <row r="208" spans="1:17" x14ac:dyDescent="0.2">
      <c r="A208" t="s">
        <v>972</v>
      </c>
      <c r="B208">
        <v>0.16247505100000001</v>
      </c>
      <c r="C208">
        <v>2640351808</v>
      </c>
      <c r="D208">
        <v>158421108.5</v>
      </c>
      <c r="E208">
        <v>31684221699</v>
      </c>
      <c r="F208" t="s">
        <v>33</v>
      </c>
      <c r="G208" t="s">
        <v>41</v>
      </c>
      <c r="H208" t="s">
        <v>16</v>
      </c>
      <c r="I208" t="s">
        <v>16</v>
      </c>
      <c r="J208" t="s">
        <v>16</v>
      </c>
      <c r="K208" t="s">
        <v>16</v>
      </c>
      <c r="L208" t="s">
        <v>27</v>
      </c>
      <c r="M208" t="str">
        <f t="shared" si="8"/>
        <v>challengedfree-ranging domestic</v>
      </c>
      <c r="N208" t="s">
        <v>28</v>
      </c>
      <c r="O208" t="s">
        <v>130</v>
      </c>
      <c r="P208" t="s">
        <v>200</v>
      </c>
      <c r="Q208">
        <v>158421108.5</v>
      </c>
    </row>
    <row r="209" spans="1:17" x14ac:dyDescent="0.2">
      <c r="A209" t="s">
        <v>206</v>
      </c>
      <c r="B209">
        <v>0.201041677</v>
      </c>
      <c r="C209">
        <v>3828087.375</v>
      </c>
      <c r="D209">
        <v>229685.24249999999</v>
      </c>
      <c r="E209">
        <v>45937048.5</v>
      </c>
      <c r="F209" t="s">
        <v>17</v>
      </c>
      <c r="G209" t="s">
        <v>41</v>
      </c>
      <c r="H209" t="s">
        <v>16</v>
      </c>
      <c r="I209" t="s">
        <v>16</v>
      </c>
      <c r="J209" t="s">
        <v>16</v>
      </c>
      <c r="K209" t="s">
        <v>16</v>
      </c>
      <c r="L209" t="s">
        <v>27</v>
      </c>
      <c r="M209" t="str">
        <f t="shared" si="8"/>
        <v>challengedfree-ranging domestic</v>
      </c>
      <c r="N209" t="s">
        <v>28</v>
      </c>
      <c r="O209" t="s">
        <v>130</v>
      </c>
      <c r="P209" t="s">
        <v>200</v>
      </c>
      <c r="Q209">
        <v>229685.24249999999</v>
      </c>
    </row>
    <row r="210" spans="1:17" x14ac:dyDescent="0.2">
      <c r="A210" t="s">
        <v>207</v>
      </c>
      <c r="B210" t="s">
        <v>16</v>
      </c>
      <c r="C210" t="s">
        <v>16</v>
      </c>
      <c r="D210">
        <v>0</v>
      </c>
      <c r="E210">
        <v>0</v>
      </c>
      <c r="F210" t="s">
        <v>19</v>
      </c>
      <c r="G210" t="s">
        <v>91</v>
      </c>
      <c r="H210" t="s">
        <v>16</v>
      </c>
      <c r="I210" t="s">
        <v>16</v>
      </c>
      <c r="J210" t="s">
        <v>16</v>
      </c>
      <c r="K210" t="s">
        <v>16</v>
      </c>
      <c r="L210" t="s">
        <v>27</v>
      </c>
      <c r="M210" t="str">
        <f t="shared" si="8"/>
        <v>ABXfree-ranging domestic</v>
      </c>
      <c r="N210" t="s">
        <v>28</v>
      </c>
      <c r="O210" t="s">
        <v>130</v>
      </c>
      <c r="P210" t="s">
        <v>208</v>
      </c>
      <c r="Q210">
        <v>0</v>
      </c>
    </row>
    <row r="211" spans="1:17" x14ac:dyDescent="0.2">
      <c r="A211" t="s">
        <v>209</v>
      </c>
      <c r="B211">
        <v>0.12846853799999999</v>
      </c>
      <c r="C211" t="s">
        <v>16</v>
      </c>
      <c r="D211">
        <v>0</v>
      </c>
      <c r="E211">
        <v>0</v>
      </c>
      <c r="F211" t="s">
        <v>19</v>
      </c>
      <c r="G211" t="s">
        <v>32</v>
      </c>
      <c r="H211" t="s">
        <v>16</v>
      </c>
      <c r="I211" t="s">
        <v>16</v>
      </c>
      <c r="J211" t="s">
        <v>16</v>
      </c>
      <c r="K211" t="s">
        <v>16</v>
      </c>
      <c r="L211" t="s">
        <v>27</v>
      </c>
      <c r="M211" t="str">
        <f t="shared" si="8"/>
        <v>abx_challengedfree-ranging domestic</v>
      </c>
      <c r="N211" t="s">
        <v>28</v>
      </c>
      <c r="O211" t="s">
        <v>130</v>
      </c>
      <c r="P211" t="s">
        <v>208</v>
      </c>
      <c r="Q211">
        <v>0</v>
      </c>
    </row>
    <row r="212" spans="1:17" x14ac:dyDescent="0.2">
      <c r="A212" t="s">
        <v>973</v>
      </c>
      <c r="B212">
        <v>9.9218361000000005E-2</v>
      </c>
      <c r="C212">
        <v>27054488.550000001</v>
      </c>
      <c r="D212">
        <v>54108.97711</v>
      </c>
      <c r="E212">
        <v>10821795.42</v>
      </c>
      <c r="F212" t="s">
        <v>33</v>
      </c>
      <c r="G212" t="s">
        <v>32</v>
      </c>
      <c r="H212" t="s">
        <v>16</v>
      </c>
      <c r="I212" t="s">
        <v>16</v>
      </c>
      <c r="J212" t="s">
        <v>16</v>
      </c>
      <c r="K212" t="s">
        <v>16</v>
      </c>
      <c r="L212" t="s">
        <v>27</v>
      </c>
      <c r="M212" t="str">
        <f t="shared" si="8"/>
        <v>abx_challengedfree-ranging domestic</v>
      </c>
      <c r="N212" t="s">
        <v>28</v>
      </c>
      <c r="O212" t="s">
        <v>130</v>
      </c>
      <c r="P212" t="s">
        <v>208</v>
      </c>
      <c r="Q212">
        <v>54108.97711</v>
      </c>
    </row>
    <row r="213" spans="1:17" x14ac:dyDescent="0.2">
      <c r="A213" t="s">
        <v>210</v>
      </c>
      <c r="B213">
        <v>0.19998371600000001</v>
      </c>
      <c r="C213">
        <v>5413005.4289999995</v>
      </c>
      <c r="D213">
        <v>32478.032569999999</v>
      </c>
      <c r="E213">
        <v>6495606.5149999997</v>
      </c>
      <c r="F213" t="s">
        <v>17</v>
      </c>
      <c r="G213" t="s">
        <v>32</v>
      </c>
      <c r="H213" t="s">
        <v>16</v>
      </c>
      <c r="I213" t="s">
        <v>16</v>
      </c>
      <c r="J213" t="s">
        <v>16</v>
      </c>
      <c r="K213" t="s">
        <v>16</v>
      </c>
      <c r="L213" t="s">
        <v>27</v>
      </c>
      <c r="M213" t="str">
        <f t="shared" si="8"/>
        <v>abx_challengedfree-ranging domestic</v>
      </c>
      <c r="N213" t="s">
        <v>28</v>
      </c>
      <c r="O213" t="s">
        <v>130</v>
      </c>
      <c r="P213" t="s">
        <v>208</v>
      </c>
      <c r="Q213">
        <v>32478.032569999999</v>
      </c>
    </row>
    <row r="214" spans="1:17" x14ac:dyDescent="0.2">
      <c r="A214" t="s">
        <v>211</v>
      </c>
      <c r="B214" s="1">
        <v>0</v>
      </c>
      <c r="C214" t="s">
        <v>16</v>
      </c>
      <c r="D214">
        <v>0</v>
      </c>
      <c r="E214">
        <v>0</v>
      </c>
      <c r="F214" t="s">
        <v>19</v>
      </c>
      <c r="G214" t="s">
        <v>36</v>
      </c>
      <c r="H214" t="s">
        <v>37</v>
      </c>
      <c r="I214">
        <v>0</v>
      </c>
      <c r="J214" t="s">
        <v>37</v>
      </c>
      <c r="K214">
        <v>0</v>
      </c>
      <c r="L214" t="s">
        <v>27</v>
      </c>
      <c r="M214" t="str">
        <f t="shared" si="8"/>
        <v>controlfree-ranging domestic</v>
      </c>
      <c r="N214" t="s">
        <v>28</v>
      </c>
      <c r="O214" t="s">
        <v>130</v>
      </c>
      <c r="P214" t="s">
        <v>208</v>
      </c>
      <c r="Q214" t="s">
        <v>16</v>
      </c>
    </row>
    <row r="215" spans="1:17" x14ac:dyDescent="0.2">
      <c r="A215" t="s">
        <v>974</v>
      </c>
      <c r="B215" s="1">
        <v>0</v>
      </c>
      <c r="C215">
        <v>73455027.120000005</v>
      </c>
      <c r="D215">
        <v>440730.16269999999</v>
      </c>
      <c r="E215">
        <v>88146032.540000007</v>
      </c>
      <c r="F215" t="s">
        <v>33</v>
      </c>
      <c r="G215" t="s">
        <v>36</v>
      </c>
      <c r="H215" t="s">
        <v>37</v>
      </c>
      <c r="I215">
        <v>52943.743520000004</v>
      </c>
      <c r="J215" t="s">
        <v>38</v>
      </c>
      <c r="K215">
        <v>10821795.42</v>
      </c>
      <c r="L215" t="s">
        <v>27</v>
      </c>
      <c r="M215" t="str">
        <f t="shared" si="8"/>
        <v>controlfree-ranging domestic</v>
      </c>
      <c r="N215" t="s">
        <v>28</v>
      </c>
      <c r="O215" t="s">
        <v>130</v>
      </c>
      <c r="P215" t="s">
        <v>208</v>
      </c>
      <c r="Q215" t="s">
        <v>16</v>
      </c>
    </row>
    <row r="216" spans="1:17" x14ac:dyDescent="0.2">
      <c r="A216" t="s">
        <v>212</v>
      </c>
      <c r="B216" s="1">
        <v>0</v>
      </c>
      <c r="C216" t="s">
        <v>16</v>
      </c>
      <c r="D216">
        <v>0</v>
      </c>
      <c r="E216">
        <v>0</v>
      </c>
      <c r="F216" t="s">
        <v>17</v>
      </c>
      <c r="G216" t="s">
        <v>36</v>
      </c>
      <c r="H216" t="s">
        <v>38</v>
      </c>
      <c r="I216">
        <v>10486736.75</v>
      </c>
      <c r="J216" t="s">
        <v>38</v>
      </c>
      <c r="K216">
        <v>6495606.5149999997</v>
      </c>
      <c r="L216" t="s">
        <v>27</v>
      </c>
      <c r="M216" t="str">
        <f t="shared" si="8"/>
        <v>controlfree-ranging domestic</v>
      </c>
      <c r="N216" t="s">
        <v>28</v>
      </c>
      <c r="O216" t="s">
        <v>130</v>
      </c>
      <c r="P216" t="s">
        <v>208</v>
      </c>
      <c r="Q216" t="s">
        <v>16</v>
      </c>
    </row>
    <row r="217" spans="1:17" x14ac:dyDescent="0.2">
      <c r="A217" t="s">
        <v>975</v>
      </c>
      <c r="B217">
        <v>0.16247505100000001</v>
      </c>
      <c r="C217">
        <v>4411.9786270000004</v>
      </c>
      <c r="D217">
        <v>264.71871759999999</v>
      </c>
      <c r="E217">
        <v>52943.743520000004</v>
      </c>
      <c r="F217" t="s">
        <v>33</v>
      </c>
      <c r="G217" t="s">
        <v>41</v>
      </c>
      <c r="H217" t="s">
        <v>16</v>
      </c>
      <c r="I217" t="s">
        <v>16</v>
      </c>
      <c r="J217" t="s">
        <v>16</v>
      </c>
      <c r="K217" t="s">
        <v>16</v>
      </c>
      <c r="L217" t="s">
        <v>27</v>
      </c>
      <c r="M217" t="str">
        <f t="shared" si="8"/>
        <v>challengedfree-ranging domestic</v>
      </c>
      <c r="N217" t="s">
        <v>28</v>
      </c>
      <c r="O217" t="s">
        <v>130</v>
      </c>
      <c r="P217" t="s">
        <v>208</v>
      </c>
      <c r="Q217">
        <v>-52168.965049999999</v>
      </c>
    </row>
    <row r="218" spans="1:17" x14ac:dyDescent="0.2">
      <c r="A218" t="s">
        <v>213</v>
      </c>
      <c r="B218">
        <v>0.18545174</v>
      </c>
      <c r="C218">
        <v>873894.72939999995</v>
      </c>
      <c r="D218">
        <v>52433.68376</v>
      </c>
      <c r="E218">
        <v>10486736.75</v>
      </c>
      <c r="F218" t="s">
        <v>17</v>
      </c>
      <c r="G218" t="s">
        <v>41</v>
      </c>
      <c r="H218" t="s">
        <v>16</v>
      </c>
      <c r="I218" t="s">
        <v>16</v>
      </c>
      <c r="J218" t="s">
        <v>16</v>
      </c>
      <c r="K218" t="s">
        <v>16</v>
      </c>
      <c r="L218" t="s">
        <v>27</v>
      </c>
      <c r="M218" t="str">
        <f t="shared" si="8"/>
        <v>challengedfree-ranging domestic</v>
      </c>
      <c r="N218" t="s">
        <v>28</v>
      </c>
      <c r="O218" t="s">
        <v>130</v>
      </c>
      <c r="P218" t="s">
        <v>208</v>
      </c>
      <c r="Q218">
        <v>52433.68376</v>
      </c>
    </row>
    <row r="219" spans="1:17" x14ac:dyDescent="0.2">
      <c r="A219" t="s">
        <v>214</v>
      </c>
      <c r="B219" t="s">
        <v>16</v>
      </c>
      <c r="C219" t="s">
        <v>16</v>
      </c>
      <c r="D219" t="s">
        <v>16</v>
      </c>
      <c r="E219" t="s">
        <v>16</v>
      </c>
      <c r="F219" t="s">
        <v>26</v>
      </c>
      <c r="G219" t="s">
        <v>26</v>
      </c>
      <c r="H219" t="s">
        <v>16</v>
      </c>
      <c r="I219" t="s">
        <v>16</v>
      </c>
      <c r="J219" t="s">
        <v>16</v>
      </c>
      <c r="K219" t="s">
        <v>16</v>
      </c>
      <c r="L219" t="s">
        <v>27</v>
      </c>
      <c r="M219" t="str">
        <f t="shared" si="8"/>
        <v>fecalfree-ranging domestic</v>
      </c>
      <c r="N219" t="s">
        <v>28</v>
      </c>
      <c r="O219" t="s">
        <v>130</v>
      </c>
      <c r="P219" t="s">
        <v>215</v>
      </c>
      <c r="Q219" t="s">
        <v>16</v>
      </c>
    </row>
    <row r="220" spans="1:17" x14ac:dyDescent="0.2">
      <c r="A220" t="s">
        <v>216</v>
      </c>
      <c r="B220">
        <v>9.6665488999999993E-2</v>
      </c>
      <c r="C220">
        <v>29.446919950000002</v>
      </c>
      <c r="D220">
        <v>0</v>
      </c>
      <c r="E220">
        <v>0</v>
      </c>
      <c r="F220" t="s">
        <v>19</v>
      </c>
      <c r="G220" t="s">
        <v>32</v>
      </c>
      <c r="H220" t="s">
        <v>16</v>
      </c>
      <c r="I220" t="s">
        <v>16</v>
      </c>
      <c r="J220" t="s">
        <v>16</v>
      </c>
      <c r="K220" t="s">
        <v>16</v>
      </c>
      <c r="L220" t="s">
        <v>27</v>
      </c>
      <c r="M220" t="str">
        <f t="shared" si="8"/>
        <v>abx_challengedfree-ranging domestic</v>
      </c>
      <c r="N220" t="s">
        <v>28</v>
      </c>
      <c r="O220" t="s">
        <v>130</v>
      </c>
      <c r="P220" t="s">
        <v>215</v>
      </c>
      <c r="Q220">
        <v>0</v>
      </c>
    </row>
    <row r="221" spans="1:17" x14ac:dyDescent="0.2">
      <c r="A221" t="s">
        <v>976</v>
      </c>
      <c r="B221">
        <v>9.8683561000000003E-2</v>
      </c>
      <c r="C221">
        <v>13312048.23</v>
      </c>
      <c r="D221">
        <v>26624.096460000001</v>
      </c>
      <c r="E221">
        <v>5324819.2910000002</v>
      </c>
      <c r="F221" t="s">
        <v>33</v>
      </c>
      <c r="G221" t="s">
        <v>32</v>
      </c>
      <c r="H221" t="s">
        <v>16</v>
      </c>
      <c r="I221" t="s">
        <v>16</v>
      </c>
      <c r="J221" t="s">
        <v>16</v>
      </c>
      <c r="K221" t="s">
        <v>16</v>
      </c>
      <c r="L221" t="s">
        <v>27</v>
      </c>
      <c r="M221" t="str">
        <f t="shared" si="8"/>
        <v>abx_challengedfree-ranging domestic</v>
      </c>
      <c r="N221" t="s">
        <v>28</v>
      </c>
      <c r="O221" t="s">
        <v>130</v>
      </c>
      <c r="P221" t="s">
        <v>215</v>
      </c>
      <c r="Q221">
        <v>-37877.579449999997</v>
      </c>
    </row>
    <row r="222" spans="1:17" x14ac:dyDescent="0.2">
      <c r="A222" t="s">
        <v>217</v>
      </c>
      <c r="B222">
        <v>0.20661121599999999</v>
      </c>
      <c r="C222">
        <v>10750279.32</v>
      </c>
      <c r="D222">
        <v>64501.675909999998</v>
      </c>
      <c r="E222">
        <v>12900335.18</v>
      </c>
      <c r="F222" t="s">
        <v>17</v>
      </c>
      <c r="G222" t="s">
        <v>32</v>
      </c>
      <c r="H222" t="s">
        <v>16</v>
      </c>
      <c r="I222" t="s">
        <v>16</v>
      </c>
      <c r="J222" t="s">
        <v>16</v>
      </c>
      <c r="K222" t="s">
        <v>16</v>
      </c>
      <c r="L222" t="s">
        <v>27</v>
      </c>
      <c r="M222" t="str">
        <f t="shared" si="8"/>
        <v>abx_challengedfree-ranging domestic</v>
      </c>
      <c r="N222" t="s">
        <v>28</v>
      </c>
      <c r="O222" t="s">
        <v>130</v>
      </c>
      <c r="P222" t="s">
        <v>215</v>
      </c>
      <c r="Q222">
        <v>64501.675909999998</v>
      </c>
    </row>
    <row r="223" spans="1:17" x14ac:dyDescent="0.2">
      <c r="A223" t="s">
        <v>218</v>
      </c>
      <c r="B223" s="1">
        <v>0</v>
      </c>
      <c r="C223">
        <v>38.75179456</v>
      </c>
      <c r="D223">
        <v>0</v>
      </c>
      <c r="E223">
        <v>0</v>
      </c>
      <c r="F223" t="s">
        <v>19</v>
      </c>
      <c r="G223" t="s">
        <v>36</v>
      </c>
      <c r="H223" t="s">
        <v>37</v>
      </c>
      <c r="I223">
        <v>0</v>
      </c>
      <c r="J223" t="s">
        <v>37</v>
      </c>
      <c r="K223">
        <v>0</v>
      </c>
      <c r="L223" t="s">
        <v>27</v>
      </c>
      <c r="M223" t="str">
        <f t="shared" si="8"/>
        <v>controlfree-ranging domestic</v>
      </c>
      <c r="N223" t="s">
        <v>28</v>
      </c>
      <c r="O223" t="s">
        <v>130</v>
      </c>
      <c r="P223" t="s">
        <v>215</v>
      </c>
      <c r="Q223" t="s">
        <v>16</v>
      </c>
    </row>
    <row r="224" spans="1:17" x14ac:dyDescent="0.2">
      <c r="A224" t="s">
        <v>977</v>
      </c>
      <c r="B224" s="1">
        <v>0</v>
      </c>
      <c r="C224">
        <v>85739945.370000005</v>
      </c>
      <c r="D224">
        <v>514439.67219999997</v>
      </c>
      <c r="E224">
        <v>102887934.40000001</v>
      </c>
      <c r="F224" t="s">
        <v>33</v>
      </c>
      <c r="G224" t="s">
        <v>36</v>
      </c>
      <c r="H224" t="s">
        <v>38</v>
      </c>
      <c r="I224">
        <v>176124744.69999999</v>
      </c>
      <c r="J224" t="s">
        <v>38</v>
      </c>
      <c r="K224">
        <v>5324819.2910000002</v>
      </c>
      <c r="L224" t="s">
        <v>27</v>
      </c>
      <c r="M224" t="str">
        <f t="shared" si="8"/>
        <v>controlfree-ranging domestic</v>
      </c>
      <c r="N224" t="s">
        <v>28</v>
      </c>
      <c r="O224" t="s">
        <v>130</v>
      </c>
      <c r="P224" t="s">
        <v>215</v>
      </c>
      <c r="Q224" t="s">
        <v>16</v>
      </c>
    </row>
    <row r="225" spans="1:17" x14ac:dyDescent="0.2">
      <c r="A225" t="s">
        <v>219</v>
      </c>
      <c r="B225" s="1">
        <v>0</v>
      </c>
      <c r="C225" t="s">
        <v>16</v>
      </c>
      <c r="D225">
        <v>0</v>
      </c>
      <c r="E225">
        <v>0</v>
      </c>
      <c r="F225" t="s">
        <v>17</v>
      </c>
      <c r="G225" t="s">
        <v>36</v>
      </c>
      <c r="H225" t="s">
        <v>16</v>
      </c>
      <c r="I225" t="s">
        <v>16</v>
      </c>
      <c r="J225" t="s">
        <v>38</v>
      </c>
      <c r="K225">
        <v>12900335.18</v>
      </c>
      <c r="L225" t="s">
        <v>27</v>
      </c>
      <c r="M225" t="str">
        <f t="shared" si="8"/>
        <v>controlfree-ranging domestic</v>
      </c>
      <c r="N225" t="s">
        <v>28</v>
      </c>
      <c r="O225" t="s">
        <v>130</v>
      </c>
      <c r="P225" t="s">
        <v>215</v>
      </c>
      <c r="Q225" t="s">
        <v>16</v>
      </c>
    </row>
    <row r="226" spans="1:17" x14ac:dyDescent="0.2">
      <c r="A226" t="s">
        <v>220</v>
      </c>
      <c r="B226">
        <v>4.3530777999999999E-2</v>
      </c>
      <c r="C226">
        <v>7.321699594</v>
      </c>
      <c r="D226">
        <v>0</v>
      </c>
      <c r="E226">
        <v>0</v>
      </c>
      <c r="F226" t="s">
        <v>19</v>
      </c>
      <c r="G226" t="s">
        <v>41</v>
      </c>
      <c r="H226" t="s">
        <v>16</v>
      </c>
      <c r="I226" t="s">
        <v>16</v>
      </c>
      <c r="J226" t="s">
        <v>16</v>
      </c>
      <c r="K226" t="s">
        <v>16</v>
      </c>
      <c r="L226" t="s">
        <v>27</v>
      </c>
      <c r="M226" t="str">
        <f t="shared" si="8"/>
        <v>challengedfree-ranging domestic</v>
      </c>
      <c r="N226" t="s">
        <v>28</v>
      </c>
      <c r="O226" t="s">
        <v>130</v>
      </c>
      <c r="P226" t="s">
        <v>215</v>
      </c>
      <c r="Q226">
        <v>0</v>
      </c>
    </row>
    <row r="227" spans="1:17" x14ac:dyDescent="0.2">
      <c r="A227" t="s">
        <v>978</v>
      </c>
      <c r="B227">
        <v>0.189976434</v>
      </c>
      <c r="C227">
        <v>14677062.050000001</v>
      </c>
      <c r="D227">
        <v>880623.72329999995</v>
      </c>
      <c r="E227">
        <v>176124744.69999999</v>
      </c>
      <c r="F227" t="s">
        <v>33</v>
      </c>
      <c r="G227" t="s">
        <v>41</v>
      </c>
      <c r="H227" t="s">
        <v>16</v>
      </c>
      <c r="I227" t="s">
        <v>16</v>
      </c>
      <c r="J227" t="s">
        <v>16</v>
      </c>
      <c r="K227" t="s">
        <v>16</v>
      </c>
      <c r="L227" t="s">
        <v>27</v>
      </c>
      <c r="M227" t="str">
        <f t="shared" si="8"/>
        <v>challengedfree-ranging domestic</v>
      </c>
      <c r="N227" t="s">
        <v>28</v>
      </c>
      <c r="O227" t="s">
        <v>130</v>
      </c>
      <c r="P227" t="s">
        <v>215</v>
      </c>
      <c r="Q227">
        <v>880623.72329999995</v>
      </c>
    </row>
    <row r="228" spans="1:17" x14ac:dyDescent="0.2">
      <c r="A228" t="s">
        <v>221</v>
      </c>
      <c r="B228" t="s">
        <v>16</v>
      </c>
      <c r="C228" t="s">
        <v>16</v>
      </c>
      <c r="D228">
        <v>0</v>
      </c>
      <c r="E228">
        <v>0</v>
      </c>
      <c r="F228" t="s">
        <v>17</v>
      </c>
      <c r="G228" t="s">
        <v>41</v>
      </c>
      <c r="H228" t="s">
        <v>16</v>
      </c>
      <c r="I228" t="s">
        <v>16</v>
      </c>
      <c r="J228" t="s">
        <v>16</v>
      </c>
      <c r="K228" t="s">
        <v>16</v>
      </c>
      <c r="L228" t="s">
        <v>27</v>
      </c>
      <c r="M228" t="str">
        <f t="shared" si="8"/>
        <v>challengedfree-ranging domestic</v>
      </c>
      <c r="N228" t="s">
        <v>28</v>
      </c>
      <c r="O228" t="s">
        <v>130</v>
      </c>
      <c r="P228" t="s">
        <v>222</v>
      </c>
      <c r="Q228">
        <f>0</f>
        <v>0</v>
      </c>
    </row>
    <row r="229" spans="1:17" x14ac:dyDescent="0.2">
      <c r="A229" t="s">
        <v>223</v>
      </c>
      <c r="B229">
        <v>0.11737033700000001</v>
      </c>
      <c r="C229">
        <v>41.447845960000002</v>
      </c>
      <c r="D229">
        <v>0</v>
      </c>
      <c r="E229">
        <v>0</v>
      </c>
      <c r="F229" t="s">
        <v>19</v>
      </c>
      <c r="G229" t="s">
        <v>32</v>
      </c>
      <c r="H229" t="s">
        <v>16</v>
      </c>
      <c r="I229" t="s">
        <v>16</v>
      </c>
      <c r="J229" t="s">
        <v>16</v>
      </c>
      <c r="K229" t="s">
        <v>16</v>
      </c>
      <c r="L229" t="s">
        <v>27</v>
      </c>
      <c r="M229" t="str">
        <f t="shared" si="8"/>
        <v>abx_challengedfree-ranging domestic</v>
      </c>
      <c r="N229" t="s">
        <v>28</v>
      </c>
      <c r="O229" t="s">
        <v>130</v>
      </c>
      <c r="P229" t="s">
        <v>224</v>
      </c>
      <c r="Q229">
        <v>0</v>
      </c>
    </row>
    <row r="230" spans="1:17" x14ac:dyDescent="0.2">
      <c r="A230" t="s">
        <v>225</v>
      </c>
      <c r="B230">
        <v>0</v>
      </c>
      <c r="C230" t="s">
        <v>16</v>
      </c>
      <c r="D230">
        <v>0</v>
      </c>
      <c r="E230">
        <v>0</v>
      </c>
      <c r="F230" t="s">
        <v>19</v>
      </c>
      <c r="G230" t="s">
        <v>36</v>
      </c>
      <c r="H230" t="s">
        <v>37</v>
      </c>
      <c r="I230">
        <v>0</v>
      </c>
      <c r="J230" t="s">
        <v>37</v>
      </c>
      <c r="K230">
        <v>0</v>
      </c>
      <c r="L230" t="s">
        <v>27</v>
      </c>
      <c r="M230" t="str">
        <f t="shared" si="8"/>
        <v>controlfree-ranging domestic</v>
      </c>
      <c r="N230" t="s">
        <v>28</v>
      </c>
      <c r="O230" t="s">
        <v>130</v>
      </c>
      <c r="P230" t="s">
        <v>224</v>
      </c>
      <c r="Q230" t="s">
        <v>16</v>
      </c>
    </row>
    <row r="231" spans="1:17" x14ac:dyDescent="0.2">
      <c r="A231" t="s">
        <v>226</v>
      </c>
      <c r="B231">
        <v>9.0714120999999995E-2</v>
      </c>
      <c r="C231" t="s">
        <v>16</v>
      </c>
      <c r="D231">
        <v>0</v>
      </c>
      <c r="E231">
        <v>0</v>
      </c>
      <c r="F231" t="s">
        <v>19</v>
      </c>
      <c r="G231" t="s">
        <v>41</v>
      </c>
      <c r="H231" t="s">
        <v>16</v>
      </c>
      <c r="I231" t="s">
        <v>16</v>
      </c>
      <c r="J231" t="s">
        <v>16</v>
      </c>
      <c r="K231" t="s">
        <v>16</v>
      </c>
      <c r="L231" t="s">
        <v>27</v>
      </c>
      <c r="M231" t="str">
        <f t="shared" si="8"/>
        <v>challengedfree-ranging domestic</v>
      </c>
      <c r="N231" t="s">
        <v>28</v>
      </c>
      <c r="O231" t="s">
        <v>130</v>
      </c>
      <c r="P231" t="s">
        <v>224</v>
      </c>
      <c r="Q231">
        <v>0</v>
      </c>
    </row>
    <row r="232" spans="1:17" x14ac:dyDescent="0.2">
      <c r="A232" t="s">
        <v>227</v>
      </c>
      <c r="B232" t="s">
        <v>16</v>
      </c>
      <c r="C232" t="s">
        <v>16</v>
      </c>
      <c r="D232" t="s">
        <v>16</v>
      </c>
      <c r="E232" t="s">
        <v>16</v>
      </c>
      <c r="F232" t="s">
        <v>26</v>
      </c>
      <c r="G232" t="s">
        <v>26</v>
      </c>
      <c r="H232" t="s">
        <v>16</v>
      </c>
      <c r="I232" t="s">
        <v>16</v>
      </c>
      <c r="J232" t="s">
        <v>16</v>
      </c>
      <c r="K232" t="s">
        <v>16</v>
      </c>
      <c r="L232" t="s">
        <v>228</v>
      </c>
      <c r="M232" t="str">
        <f t="shared" si="8"/>
        <v>fecalwild</v>
      </c>
      <c r="N232" t="s">
        <v>228</v>
      </c>
      <c r="O232" t="s">
        <v>229</v>
      </c>
      <c r="P232" t="s">
        <v>230</v>
      </c>
      <c r="Q232" t="s">
        <v>16</v>
      </c>
    </row>
    <row r="233" spans="1:17" x14ac:dyDescent="0.2">
      <c r="A233" t="s">
        <v>231</v>
      </c>
      <c r="B233" t="s">
        <v>16</v>
      </c>
      <c r="C233" t="s">
        <v>16</v>
      </c>
      <c r="D233" t="s">
        <v>16</v>
      </c>
      <c r="E233" t="s">
        <v>16</v>
      </c>
      <c r="F233" t="s">
        <v>26</v>
      </c>
      <c r="G233" t="s">
        <v>26</v>
      </c>
      <c r="H233" t="s">
        <v>16</v>
      </c>
      <c r="I233" t="s">
        <v>16</v>
      </c>
      <c r="J233" t="s">
        <v>16</v>
      </c>
      <c r="K233" t="s">
        <v>16</v>
      </c>
      <c r="L233" t="s">
        <v>228</v>
      </c>
      <c r="M233" t="str">
        <f t="shared" si="8"/>
        <v>fecalwild</v>
      </c>
      <c r="N233" t="s">
        <v>228</v>
      </c>
      <c r="O233" t="s">
        <v>229</v>
      </c>
      <c r="P233" t="s">
        <v>232</v>
      </c>
      <c r="Q233" t="s">
        <v>16</v>
      </c>
    </row>
    <row r="234" spans="1:17" x14ac:dyDescent="0.2">
      <c r="A234" t="s">
        <v>979</v>
      </c>
      <c r="B234">
        <v>0.14406486299999999</v>
      </c>
      <c r="C234">
        <v>73251065.920000002</v>
      </c>
      <c r="D234">
        <v>146502.1318</v>
      </c>
      <c r="E234">
        <v>29300426.370000001</v>
      </c>
      <c r="F234" t="s">
        <v>33</v>
      </c>
      <c r="G234" t="s">
        <v>32</v>
      </c>
      <c r="H234" t="s">
        <v>16</v>
      </c>
      <c r="I234" t="s">
        <v>16</v>
      </c>
      <c r="J234" t="s">
        <v>16</v>
      </c>
      <c r="K234" t="s">
        <v>16</v>
      </c>
      <c r="L234" t="s">
        <v>228</v>
      </c>
      <c r="M234" t="str">
        <f t="shared" si="8"/>
        <v>abx_challengedwild</v>
      </c>
      <c r="N234" t="s">
        <v>228</v>
      </c>
      <c r="O234" t="s">
        <v>229</v>
      </c>
      <c r="P234" t="s">
        <v>232</v>
      </c>
      <c r="Q234">
        <v>-102374679.7</v>
      </c>
    </row>
    <row r="235" spans="1:17" x14ac:dyDescent="0.2">
      <c r="A235" t="s">
        <v>233</v>
      </c>
      <c r="B235" t="s">
        <v>16</v>
      </c>
      <c r="C235" t="s">
        <v>16</v>
      </c>
      <c r="D235" t="s">
        <v>16</v>
      </c>
      <c r="E235" t="s">
        <v>16</v>
      </c>
      <c r="F235" t="s">
        <v>19</v>
      </c>
      <c r="G235" t="s">
        <v>32</v>
      </c>
      <c r="H235" t="s">
        <v>16</v>
      </c>
      <c r="I235" t="s">
        <v>16</v>
      </c>
      <c r="J235" t="s">
        <v>16</v>
      </c>
      <c r="K235" t="s">
        <v>16</v>
      </c>
      <c r="L235" t="s">
        <v>228</v>
      </c>
      <c r="M235" t="str">
        <f t="shared" si="8"/>
        <v>abx_challengedwild</v>
      </c>
      <c r="N235" t="s">
        <v>228</v>
      </c>
      <c r="O235" t="s">
        <v>229</v>
      </c>
      <c r="P235" t="s">
        <v>234</v>
      </c>
      <c r="Q235" t="s">
        <v>16</v>
      </c>
    </row>
    <row r="236" spans="1:17" x14ac:dyDescent="0.2">
      <c r="A236" t="s">
        <v>235</v>
      </c>
      <c r="B236">
        <v>0.20389053500000001</v>
      </c>
      <c r="C236">
        <v>3638024.247</v>
      </c>
      <c r="D236">
        <v>21828.145479999999</v>
      </c>
      <c r="E236">
        <v>4365629.0970000001</v>
      </c>
      <c r="F236" t="s">
        <v>17</v>
      </c>
      <c r="G236" t="s">
        <v>32</v>
      </c>
      <c r="H236" t="s">
        <v>16</v>
      </c>
      <c r="I236" t="s">
        <v>16</v>
      </c>
      <c r="J236" t="s">
        <v>16</v>
      </c>
      <c r="K236" t="s">
        <v>16</v>
      </c>
      <c r="L236" t="s">
        <v>228</v>
      </c>
      <c r="M236" t="str">
        <f t="shared" si="8"/>
        <v>abx_challengedwild</v>
      </c>
      <c r="N236" t="s">
        <v>228</v>
      </c>
      <c r="O236" t="s">
        <v>229</v>
      </c>
      <c r="P236" t="s">
        <v>232</v>
      </c>
      <c r="Q236">
        <v>-509926.18589999998</v>
      </c>
    </row>
    <row r="237" spans="1:17" x14ac:dyDescent="0.2">
      <c r="A237" t="s">
        <v>236</v>
      </c>
      <c r="B237" t="s">
        <v>16</v>
      </c>
      <c r="C237">
        <v>443.76307079999998</v>
      </c>
      <c r="D237">
        <v>41.089173219999999</v>
      </c>
      <c r="E237">
        <v>8217.8346440000005</v>
      </c>
      <c r="F237" t="s">
        <v>19</v>
      </c>
      <c r="G237" t="s">
        <v>32</v>
      </c>
      <c r="H237" t="s">
        <v>16</v>
      </c>
      <c r="I237" t="s">
        <v>16</v>
      </c>
      <c r="J237" t="s">
        <v>16</v>
      </c>
      <c r="K237" t="s">
        <v>16</v>
      </c>
      <c r="L237" t="s">
        <v>228</v>
      </c>
      <c r="M237" t="str">
        <f t="shared" si="8"/>
        <v>abx_challengedwild</v>
      </c>
      <c r="N237" t="s">
        <v>228</v>
      </c>
      <c r="O237" t="s">
        <v>229</v>
      </c>
      <c r="P237" t="s">
        <v>232</v>
      </c>
      <c r="Q237">
        <v>41.089173219999999</v>
      </c>
    </row>
    <row r="238" spans="1:17" x14ac:dyDescent="0.2">
      <c r="A238" t="s">
        <v>980</v>
      </c>
      <c r="B238" s="1">
        <v>0</v>
      </c>
      <c r="C238">
        <v>88625721.900000006</v>
      </c>
      <c r="D238">
        <v>531754.33140000002</v>
      </c>
      <c r="E238">
        <v>106350866.3</v>
      </c>
      <c r="F238" t="s">
        <v>33</v>
      </c>
      <c r="G238" t="s">
        <v>36</v>
      </c>
      <c r="H238" t="s">
        <v>38</v>
      </c>
      <c r="I238">
        <v>131675106.09999999</v>
      </c>
      <c r="J238" t="s">
        <v>38</v>
      </c>
      <c r="K238">
        <v>29300426.370000001</v>
      </c>
      <c r="L238" t="s">
        <v>228</v>
      </c>
      <c r="M238" t="str">
        <f t="shared" si="8"/>
        <v>controlwild</v>
      </c>
      <c r="N238" t="s">
        <v>228</v>
      </c>
      <c r="O238" t="s">
        <v>229</v>
      </c>
      <c r="P238" t="s">
        <v>232</v>
      </c>
      <c r="Q238" t="s">
        <v>16</v>
      </c>
    </row>
    <row r="239" spans="1:17" x14ac:dyDescent="0.2">
      <c r="A239" t="s">
        <v>237</v>
      </c>
      <c r="B239" s="1">
        <v>0</v>
      </c>
      <c r="C239" t="s">
        <v>16</v>
      </c>
      <c r="D239">
        <v>0</v>
      </c>
      <c r="E239">
        <v>0</v>
      </c>
      <c r="F239" t="s">
        <v>17</v>
      </c>
      <c r="G239" t="s">
        <v>36</v>
      </c>
      <c r="H239" t="s">
        <v>38</v>
      </c>
      <c r="I239">
        <v>389113853.89999998</v>
      </c>
      <c r="J239" t="s">
        <v>38</v>
      </c>
      <c r="K239">
        <v>4365629.0970000001</v>
      </c>
      <c r="L239" t="s">
        <v>228</v>
      </c>
      <c r="M239" t="str">
        <f t="shared" si="8"/>
        <v>controlwild</v>
      </c>
      <c r="N239" t="s">
        <v>228</v>
      </c>
      <c r="O239" t="s">
        <v>229</v>
      </c>
      <c r="P239" t="s">
        <v>232</v>
      </c>
      <c r="Q239" t="s">
        <v>16</v>
      </c>
    </row>
    <row r="240" spans="1:17" x14ac:dyDescent="0.2">
      <c r="A240" t="s">
        <v>238</v>
      </c>
      <c r="B240" s="1">
        <v>0</v>
      </c>
      <c r="C240" t="s">
        <v>16</v>
      </c>
      <c r="D240">
        <v>0</v>
      </c>
      <c r="E240">
        <v>0</v>
      </c>
      <c r="F240" t="s">
        <v>19</v>
      </c>
      <c r="G240" t="s">
        <v>36</v>
      </c>
      <c r="H240" t="s">
        <v>37</v>
      </c>
      <c r="I240">
        <v>13276.4645</v>
      </c>
      <c r="J240" t="s">
        <v>37</v>
      </c>
      <c r="K240">
        <v>8217.8346440000005</v>
      </c>
      <c r="L240" t="s">
        <v>228</v>
      </c>
      <c r="M240" t="str">
        <f t="shared" si="8"/>
        <v>controlwild</v>
      </c>
      <c r="N240" t="s">
        <v>228</v>
      </c>
      <c r="O240" t="s">
        <v>229</v>
      </c>
      <c r="P240" t="s">
        <v>232</v>
      </c>
      <c r="Q240" t="s">
        <v>16</v>
      </c>
    </row>
    <row r="241" spans="1:17" x14ac:dyDescent="0.2">
      <c r="A241" t="s">
        <v>981</v>
      </c>
      <c r="B241">
        <v>3.0309289E-2</v>
      </c>
      <c r="C241">
        <v>10972925.5</v>
      </c>
      <c r="D241">
        <v>658375.53029999998</v>
      </c>
      <c r="E241">
        <v>131675106.09999999</v>
      </c>
      <c r="F241" t="s">
        <v>33</v>
      </c>
      <c r="G241" t="s">
        <v>41</v>
      </c>
      <c r="H241" t="s">
        <v>16</v>
      </c>
      <c r="I241" t="s">
        <v>16</v>
      </c>
      <c r="J241" t="s">
        <v>16</v>
      </c>
      <c r="K241" t="s">
        <v>16</v>
      </c>
      <c r="L241" t="s">
        <v>228</v>
      </c>
      <c r="M241" t="str">
        <f t="shared" si="8"/>
        <v>challengedwild</v>
      </c>
      <c r="N241" t="s">
        <v>228</v>
      </c>
      <c r="O241" t="s">
        <v>229</v>
      </c>
      <c r="P241" t="s">
        <v>232</v>
      </c>
      <c r="Q241">
        <v>-1287193.7390000001</v>
      </c>
    </row>
    <row r="242" spans="1:17" x14ac:dyDescent="0.2">
      <c r="A242" t="s">
        <v>239</v>
      </c>
      <c r="B242">
        <v>8.8010927000000003E-2</v>
      </c>
      <c r="C242" t="s">
        <v>16</v>
      </c>
      <c r="D242" t="s">
        <v>16</v>
      </c>
      <c r="E242" t="s">
        <v>16</v>
      </c>
      <c r="F242" t="s">
        <v>19</v>
      </c>
      <c r="G242" t="s">
        <v>41</v>
      </c>
      <c r="H242" t="s">
        <v>16</v>
      </c>
      <c r="I242" t="s">
        <v>16</v>
      </c>
      <c r="J242" t="s">
        <v>16</v>
      </c>
      <c r="K242" t="s">
        <v>16</v>
      </c>
      <c r="L242" t="s">
        <v>228</v>
      </c>
      <c r="M242" t="str">
        <f t="shared" si="8"/>
        <v>challengedwild</v>
      </c>
      <c r="N242" t="s">
        <v>228</v>
      </c>
      <c r="O242" t="s">
        <v>229</v>
      </c>
      <c r="P242" t="s">
        <v>234</v>
      </c>
      <c r="Q242" t="s">
        <v>16</v>
      </c>
    </row>
    <row r="243" spans="1:17" x14ac:dyDescent="0.2">
      <c r="A243" t="s">
        <v>240</v>
      </c>
      <c r="B243">
        <v>0.18535345</v>
      </c>
      <c r="C243">
        <v>32426154.5</v>
      </c>
      <c r="D243">
        <v>1945569.27</v>
      </c>
      <c r="E243">
        <v>389113853.89999998</v>
      </c>
      <c r="F243" t="s">
        <v>17</v>
      </c>
      <c r="G243" t="s">
        <v>41</v>
      </c>
      <c r="H243" t="s">
        <v>16</v>
      </c>
      <c r="I243" t="s">
        <v>16</v>
      </c>
      <c r="J243" t="s">
        <v>16</v>
      </c>
      <c r="K243" t="s">
        <v>16</v>
      </c>
      <c r="L243" t="s">
        <v>228</v>
      </c>
      <c r="M243" t="str">
        <f t="shared" si="8"/>
        <v>challengedwild</v>
      </c>
      <c r="N243" t="s">
        <v>228</v>
      </c>
      <c r="O243" t="s">
        <v>229</v>
      </c>
      <c r="P243" t="s">
        <v>232</v>
      </c>
      <c r="Q243">
        <v>1945502.8870000001</v>
      </c>
    </row>
    <row r="244" spans="1:17" x14ac:dyDescent="0.2">
      <c r="A244" t="s">
        <v>241</v>
      </c>
      <c r="B244">
        <v>8.8010927000000003E-2</v>
      </c>
      <c r="C244">
        <v>716.92908290000003</v>
      </c>
      <c r="D244">
        <v>66.382322490000007</v>
      </c>
      <c r="E244">
        <v>13276.4645</v>
      </c>
      <c r="F244" t="s">
        <v>19</v>
      </c>
      <c r="G244" t="s">
        <v>41</v>
      </c>
      <c r="H244" t="s">
        <v>16</v>
      </c>
      <c r="I244" t="s">
        <v>16</v>
      </c>
      <c r="J244" t="s">
        <v>16</v>
      </c>
      <c r="K244" t="s">
        <v>16</v>
      </c>
      <c r="L244" t="s">
        <v>228</v>
      </c>
      <c r="M244" t="str">
        <f t="shared" si="8"/>
        <v>challengedwild</v>
      </c>
      <c r="N244" t="s">
        <v>228</v>
      </c>
      <c r="O244" t="s">
        <v>229</v>
      </c>
      <c r="P244" t="s">
        <v>232</v>
      </c>
      <c r="Q244">
        <v>13276.4645</v>
      </c>
    </row>
    <row r="245" spans="1:17" x14ac:dyDescent="0.2">
      <c r="A245" t="s">
        <v>242</v>
      </c>
      <c r="B245" t="s">
        <v>16</v>
      </c>
      <c r="C245" t="s">
        <v>16</v>
      </c>
      <c r="D245" t="s">
        <v>16</v>
      </c>
      <c r="E245" t="s">
        <v>16</v>
      </c>
      <c r="F245" t="s">
        <v>26</v>
      </c>
      <c r="G245" t="s">
        <v>26</v>
      </c>
      <c r="H245" t="s">
        <v>16</v>
      </c>
      <c r="I245" t="s">
        <v>16</v>
      </c>
      <c r="J245" t="s">
        <v>16</v>
      </c>
      <c r="K245" t="s">
        <v>16</v>
      </c>
      <c r="L245" t="s">
        <v>228</v>
      </c>
      <c r="M245" t="str">
        <f t="shared" si="8"/>
        <v>fecalwild</v>
      </c>
      <c r="N245" t="s">
        <v>228</v>
      </c>
      <c r="O245" t="s">
        <v>229</v>
      </c>
      <c r="P245" t="s">
        <v>243</v>
      </c>
      <c r="Q245" t="s">
        <v>16</v>
      </c>
    </row>
    <row r="246" spans="1:17" x14ac:dyDescent="0.2">
      <c r="A246" t="s">
        <v>982</v>
      </c>
      <c r="B246">
        <v>0.112684163</v>
      </c>
      <c r="C246">
        <v>136143578.30000001</v>
      </c>
      <c r="D246">
        <v>272287.15669999999</v>
      </c>
      <c r="E246">
        <v>54457431.340000004</v>
      </c>
      <c r="F246" t="s">
        <v>33</v>
      </c>
      <c r="G246" t="s">
        <v>32</v>
      </c>
      <c r="H246" t="s">
        <v>16</v>
      </c>
      <c r="I246" t="s">
        <v>16</v>
      </c>
      <c r="J246" t="s">
        <v>16</v>
      </c>
      <c r="K246" t="s">
        <v>16</v>
      </c>
      <c r="L246" t="s">
        <v>228</v>
      </c>
      <c r="M246" t="str">
        <f t="shared" si="8"/>
        <v>abx_challengedwild</v>
      </c>
      <c r="N246" t="s">
        <v>228</v>
      </c>
      <c r="O246" t="s">
        <v>229</v>
      </c>
      <c r="P246" t="s">
        <v>243</v>
      </c>
      <c r="Q246">
        <v>272274.01530000003</v>
      </c>
    </row>
    <row r="247" spans="1:17" x14ac:dyDescent="0.2">
      <c r="A247" t="s">
        <v>244</v>
      </c>
      <c r="B247">
        <v>0.20108664100000001</v>
      </c>
      <c r="C247">
        <v>11082127.039999999</v>
      </c>
      <c r="D247">
        <v>66492.762229999993</v>
      </c>
      <c r="E247">
        <v>13298552.449999999</v>
      </c>
      <c r="F247" t="s">
        <v>17</v>
      </c>
      <c r="G247" t="s">
        <v>32</v>
      </c>
      <c r="H247" t="s">
        <v>16</v>
      </c>
      <c r="I247" t="s">
        <v>16</v>
      </c>
      <c r="J247" t="s">
        <v>16</v>
      </c>
      <c r="K247" t="s">
        <v>16</v>
      </c>
      <c r="L247" t="s">
        <v>228</v>
      </c>
      <c r="M247" t="str">
        <f t="shared" si="8"/>
        <v>abx_challengedwild</v>
      </c>
      <c r="N247" t="s">
        <v>228</v>
      </c>
      <c r="O247" t="s">
        <v>229</v>
      </c>
      <c r="P247" t="s">
        <v>243</v>
      </c>
      <c r="Q247">
        <v>-2871595.2969999998</v>
      </c>
    </row>
    <row r="248" spans="1:17" x14ac:dyDescent="0.2">
      <c r="A248" t="s">
        <v>245</v>
      </c>
      <c r="B248">
        <v>0.136002965</v>
      </c>
      <c r="C248">
        <v>141.92674020000001</v>
      </c>
      <c r="D248">
        <v>13.141364830000001</v>
      </c>
      <c r="E248">
        <v>2628.2729669999999</v>
      </c>
      <c r="F248" t="s">
        <v>19</v>
      </c>
      <c r="G248" t="s">
        <v>32</v>
      </c>
      <c r="H248" t="s">
        <v>16</v>
      </c>
      <c r="I248" t="s">
        <v>16</v>
      </c>
      <c r="J248" t="s">
        <v>16</v>
      </c>
      <c r="K248" t="s">
        <v>16</v>
      </c>
      <c r="L248" t="s">
        <v>228</v>
      </c>
      <c r="M248" t="str">
        <f t="shared" si="8"/>
        <v>abx_challengedwild</v>
      </c>
      <c r="N248" t="s">
        <v>228</v>
      </c>
      <c r="O248" t="s">
        <v>229</v>
      </c>
      <c r="P248" t="s">
        <v>243</v>
      </c>
      <c r="Q248">
        <v>13.141364830000001</v>
      </c>
    </row>
    <row r="249" spans="1:17" x14ac:dyDescent="0.2">
      <c r="A249" t="s">
        <v>983</v>
      </c>
      <c r="B249" s="1">
        <v>0</v>
      </c>
      <c r="C249">
        <v>489681343.30000001</v>
      </c>
      <c r="D249">
        <v>2938088.06</v>
      </c>
      <c r="E249">
        <v>587617611.89999998</v>
      </c>
      <c r="F249" t="s">
        <v>33</v>
      </c>
      <c r="G249" t="s">
        <v>36</v>
      </c>
      <c r="H249" t="s">
        <v>38</v>
      </c>
      <c r="I249">
        <v>454661898.19999999</v>
      </c>
      <c r="J249" t="s">
        <v>38</v>
      </c>
      <c r="K249">
        <v>54457431.340000004</v>
      </c>
      <c r="L249" t="s">
        <v>228</v>
      </c>
      <c r="M249" t="str">
        <f t="shared" si="8"/>
        <v>controlwild</v>
      </c>
      <c r="N249" t="s">
        <v>228</v>
      </c>
      <c r="O249" t="s">
        <v>229</v>
      </c>
      <c r="P249" t="s">
        <v>243</v>
      </c>
      <c r="Q249" t="s">
        <v>16</v>
      </c>
    </row>
    <row r="250" spans="1:17" x14ac:dyDescent="0.2">
      <c r="A250" t="s">
        <v>246</v>
      </c>
      <c r="B250" s="1">
        <v>0</v>
      </c>
      <c r="C250" t="s">
        <v>16</v>
      </c>
      <c r="D250">
        <v>0</v>
      </c>
      <c r="E250">
        <v>0</v>
      </c>
      <c r="F250" t="s">
        <v>17</v>
      </c>
      <c r="G250" t="s">
        <v>36</v>
      </c>
      <c r="H250" t="s">
        <v>38</v>
      </c>
      <c r="I250">
        <v>119006819.3</v>
      </c>
      <c r="J250" t="s">
        <v>38</v>
      </c>
      <c r="K250">
        <v>13298552.449999999</v>
      </c>
      <c r="L250" t="s">
        <v>228</v>
      </c>
      <c r="M250" t="str">
        <f t="shared" si="8"/>
        <v>controlwild</v>
      </c>
      <c r="N250" t="s">
        <v>228</v>
      </c>
      <c r="O250" t="s">
        <v>229</v>
      </c>
      <c r="P250" t="s">
        <v>243</v>
      </c>
      <c r="Q250" t="s">
        <v>16</v>
      </c>
    </row>
    <row r="251" spans="1:17" x14ac:dyDescent="0.2">
      <c r="A251" t="s">
        <v>247</v>
      </c>
      <c r="B251" s="1">
        <v>0</v>
      </c>
      <c r="C251">
        <v>13.084319730000001</v>
      </c>
      <c r="D251">
        <v>0</v>
      </c>
      <c r="E251">
        <v>0</v>
      </c>
      <c r="F251" t="s">
        <v>19</v>
      </c>
      <c r="G251" t="s">
        <v>36</v>
      </c>
      <c r="H251" t="s">
        <v>37</v>
      </c>
      <c r="I251">
        <v>0</v>
      </c>
      <c r="J251" t="s">
        <v>37</v>
      </c>
      <c r="K251">
        <v>2628.2729669999999</v>
      </c>
      <c r="L251" t="s">
        <v>228</v>
      </c>
      <c r="M251" t="str">
        <f t="shared" si="8"/>
        <v>controlwild</v>
      </c>
      <c r="N251" t="s">
        <v>228</v>
      </c>
      <c r="O251" t="s">
        <v>229</v>
      </c>
      <c r="P251" t="s">
        <v>243</v>
      </c>
      <c r="Q251" t="s">
        <v>16</v>
      </c>
    </row>
    <row r="252" spans="1:17" x14ac:dyDescent="0.2">
      <c r="A252" t="s">
        <v>984</v>
      </c>
      <c r="B252">
        <v>9.3702914999999998E-2</v>
      </c>
      <c r="C252">
        <v>37888491.520000003</v>
      </c>
      <c r="D252">
        <v>2273309.4909999999</v>
      </c>
      <c r="E252">
        <v>454661898.19999999</v>
      </c>
      <c r="F252" t="s">
        <v>33</v>
      </c>
      <c r="G252" t="s">
        <v>41</v>
      </c>
      <c r="H252" t="s">
        <v>16</v>
      </c>
      <c r="I252" t="s">
        <v>16</v>
      </c>
      <c r="J252" t="s">
        <v>16</v>
      </c>
      <c r="K252" t="s">
        <v>16</v>
      </c>
      <c r="L252" t="s">
        <v>228</v>
      </c>
      <c r="M252" t="str">
        <f t="shared" si="8"/>
        <v>challengedwild</v>
      </c>
      <c r="N252" t="s">
        <v>228</v>
      </c>
      <c r="O252" t="s">
        <v>229</v>
      </c>
      <c r="P252" t="s">
        <v>243</v>
      </c>
      <c r="Q252">
        <v>1678275.395</v>
      </c>
    </row>
    <row r="253" spans="1:17" x14ac:dyDescent="0.2">
      <c r="A253" t="s">
        <v>248</v>
      </c>
      <c r="B253">
        <v>0.17760493999999999</v>
      </c>
      <c r="C253">
        <v>9917234.943</v>
      </c>
      <c r="D253">
        <v>595034.09660000005</v>
      </c>
      <c r="E253">
        <v>119006819.3</v>
      </c>
      <c r="F253" t="s">
        <v>17</v>
      </c>
      <c r="G253" t="s">
        <v>41</v>
      </c>
      <c r="H253" t="s">
        <v>16</v>
      </c>
      <c r="I253" t="s">
        <v>16</v>
      </c>
      <c r="J253" t="s">
        <v>16</v>
      </c>
      <c r="K253" t="s">
        <v>16</v>
      </c>
      <c r="L253" t="s">
        <v>228</v>
      </c>
      <c r="M253" t="str">
        <f t="shared" si="8"/>
        <v>challengedwild</v>
      </c>
      <c r="N253" t="s">
        <v>228</v>
      </c>
      <c r="O253" t="s">
        <v>229</v>
      </c>
      <c r="P253" t="s">
        <v>243</v>
      </c>
      <c r="Q253">
        <v>595034.09660000005</v>
      </c>
    </row>
    <row r="254" spans="1:17" x14ac:dyDescent="0.2">
      <c r="A254" t="s">
        <v>249</v>
      </c>
      <c r="B254">
        <v>5.1907631000000003E-2</v>
      </c>
      <c r="C254">
        <v>18.371610409999999</v>
      </c>
      <c r="D254">
        <v>0</v>
      </c>
      <c r="E254">
        <v>0</v>
      </c>
      <c r="F254" t="s">
        <v>19</v>
      </c>
      <c r="G254" t="s">
        <v>41</v>
      </c>
      <c r="H254" t="s">
        <v>16</v>
      </c>
      <c r="I254" t="s">
        <v>16</v>
      </c>
      <c r="J254" t="s">
        <v>16</v>
      </c>
      <c r="K254" t="s">
        <v>16</v>
      </c>
      <c r="L254" t="s">
        <v>228</v>
      </c>
      <c r="M254" t="str">
        <f t="shared" si="8"/>
        <v>challengedwild</v>
      </c>
      <c r="N254" t="s">
        <v>228</v>
      </c>
      <c r="O254" t="s">
        <v>229</v>
      </c>
      <c r="P254" t="s">
        <v>243</v>
      </c>
      <c r="Q254">
        <v>-138472.29990000001</v>
      </c>
    </row>
    <row r="255" spans="1:17" x14ac:dyDescent="0.2">
      <c r="A255" t="s">
        <v>985</v>
      </c>
      <c r="B255">
        <v>0.168868832</v>
      </c>
      <c r="C255">
        <v>69236149.939999998</v>
      </c>
      <c r="D255">
        <v>138472.29990000001</v>
      </c>
      <c r="E255">
        <v>27694459.98</v>
      </c>
      <c r="F255" t="s">
        <v>33</v>
      </c>
      <c r="G255" t="s">
        <v>32</v>
      </c>
      <c r="H255" t="s">
        <v>16</v>
      </c>
      <c r="I255" t="s">
        <v>16</v>
      </c>
      <c r="J255" t="s">
        <v>16</v>
      </c>
      <c r="K255" t="s">
        <v>16</v>
      </c>
      <c r="L255" t="s">
        <v>228</v>
      </c>
      <c r="M255" t="str">
        <f t="shared" si="8"/>
        <v>abx_challengedwild</v>
      </c>
      <c r="N255" t="s">
        <v>228</v>
      </c>
      <c r="O255" t="s">
        <v>229</v>
      </c>
      <c r="P255" t="s">
        <v>250</v>
      </c>
      <c r="Q255">
        <v>67779.435400000002</v>
      </c>
    </row>
    <row r="256" spans="1:17" x14ac:dyDescent="0.2">
      <c r="A256" t="s">
        <v>251</v>
      </c>
      <c r="B256">
        <v>0.22349853</v>
      </c>
      <c r="C256">
        <v>11782144.08</v>
      </c>
      <c r="D256">
        <v>70692.864480000004</v>
      </c>
      <c r="E256">
        <v>14138572.9</v>
      </c>
      <c r="F256" t="s">
        <v>17</v>
      </c>
      <c r="G256" t="s">
        <v>32</v>
      </c>
      <c r="H256" t="s">
        <v>16</v>
      </c>
      <c r="I256" t="s">
        <v>16</v>
      </c>
      <c r="J256" t="s">
        <v>16</v>
      </c>
      <c r="K256" t="s">
        <v>16</v>
      </c>
      <c r="L256" t="s">
        <v>228</v>
      </c>
      <c r="M256" t="str">
        <f t="shared" si="8"/>
        <v>abx_challengedwild</v>
      </c>
      <c r="N256" t="s">
        <v>228</v>
      </c>
      <c r="O256" t="s">
        <v>229</v>
      </c>
      <c r="P256" t="s">
        <v>250</v>
      </c>
      <c r="Q256">
        <v>70692.864480000004</v>
      </c>
    </row>
    <row r="257" spans="1:17" x14ac:dyDescent="0.2">
      <c r="A257" t="s">
        <v>252</v>
      </c>
      <c r="B257">
        <v>0.20999975900000001</v>
      </c>
      <c r="C257">
        <v>88.355533769999994</v>
      </c>
      <c r="D257">
        <v>0</v>
      </c>
      <c r="E257">
        <v>0</v>
      </c>
      <c r="F257" t="s">
        <v>19</v>
      </c>
      <c r="G257" t="s">
        <v>32</v>
      </c>
      <c r="H257" t="s">
        <v>16</v>
      </c>
      <c r="I257" t="s">
        <v>16</v>
      </c>
      <c r="J257" t="s">
        <v>16</v>
      </c>
      <c r="K257" t="s">
        <v>16</v>
      </c>
      <c r="L257" t="s">
        <v>228</v>
      </c>
      <c r="M257" t="str">
        <f t="shared" si="8"/>
        <v>abx_challengedwild</v>
      </c>
      <c r="N257" t="s">
        <v>228</v>
      </c>
      <c r="O257" t="s">
        <v>229</v>
      </c>
      <c r="P257" t="s">
        <v>250</v>
      </c>
      <c r="Q257">
        <v>0</v>
      </c>
    </row>
    <row r="258" spans="1:17" x14ac:dyDescent="0.2">
      <c r="A258" t="s">
        <v>986</v>
      </c>
      <c r="B258" s="1">
        <v>0</v>
      </c>
      <c r="C258">
        <v>107526301.59999999</v>
      </c>
      <c r="D258">
        <v>645157.80940000003</v>
      </c>
      <c r="E258">
        <v>129031561.90000001</v>
      </c>
      <c r="F258" t="s">
        <v>33</v>
      </c>
      <c r="G258" t="s">
        <v>36</v>
      </c>
      <c r="H258" t="s">
        <v>38</v>
      </c>
      <c r="I258">
        <v>8832314966</v>
      </c>
      <c r="J258" t="s">
        <v>38</v>
      </c>
      <c r="K258">
        <v>27694459.98</v>
      </c>
      <c r="L258" t="s">
        <v>228</v>
      </c>
      <c r="M258" t="str">
        <f t="shared" si="8"/>
        <v>controlwild</v>
      </c>
      <c r="N258" t="s">
        <v>228</v>
      </c>
      <c r="O258" t="s">
        <v>229</v>
      </c>
      <c r="P258" t="s">
        <v>250</v>
      </c>
      <c r="Q258" t="s">
        <v>16</v>
      </c>
    </row>
    <row r="259" spans="1:17" x14ac:dyDescent="0.2">
      <c r="A259" t="s">
        <v>253</v>
      </c>
      <c r="B259" s="1">
        <v>0</v>
      </c>
      <c r="C259" t="s">
        <v>16</v>
      </c>
      <c r="D259">
        <v>0</v>
      </c>
      <c r="E259">
        <v>0</v>
      </c>
      <c r="F259" t="s">
        <v>17</v>
      </c>
      <c r="G259" t="s">
        <v>36</v>
      </c>
      <c r="H259" t="s">
        <v>38</v>
      </c>
      <c r="I259">
        <v>63592701.780000001</v>
      </c>
      <c r="J259" t="s">
        <v>38</v>
      </c>
      <c r="K259">
        <v>14138572.9</v>
      </c>
      <c r="L259" t="s">
        <v>228</v>
      </c>
      <c r="M259" t="str">
        <f t="shared" si="8"/>
        <v>controlwild</v>
      </c>
      <c r="N259" t="s">
        <v>228</v>
      </c>
      <c r="O259" t="s">
        <v>229</v>
      </c>
      <c r="P259" t="s">
        <v>250</v>
      </c>
      <c r="Q259" t="s">
        <v>16</v>
      </c>
    </row>
    <row r="260" spans="1:17" x14ac:dyDescent="0.2">
      <c r="A260" t="s">
        <v>254</v>
      </c>
      <c r="B260" s="1">
        <v>0</v>
      </c>
      <c r="C260">
        <v>4.7440666340000002</v>
      </c>
      <c r="D260">
        <v>0</v>
      </c>
      <c r="E260">
        <v>0</v>
      </c>
      <c r="F260" t="s">
        <v>19</v>
      </c>
      <c r="G260" t="s">
        <v>36</v>
      </c>
      <c r="H260" t="s">
        <v>37</v>
      </c>
      <c r="I260">
        <v>0</v>
      </c>
      <c r="J260" t="s">
        <v>37</v>
      </c>
      <c r="K260">
        <v>0</v>
      </c>
      <c r="L260" t="s">
        <v>228</v>
      </c>
      <c r="M260" t="str">
        <f t="shared" si="8"/>
        <v>controlwild</v>
      </c>
      <c r="N260" t="s">
        <v>228</v>
      </c>
      <c r="O260" t="s">
        <v>229</v>
      </c>
      <c r="P260" t="s">
        <v>250</v>
      </c>
      <c r="Q260" t="s">
        <v>16</v>
      </c>
    </row>
    <row r="261" spans="1:17" x14ac:dyDescent="0.2">
      <c r="A261" t="s">
        <v>987</v>
      </c>
      <c r="B261">
        <v>0.18981995700000001</v>
      </c>
      <c r="C261">
        <v>736026247.20000005</v>
      </c>
      <c r="D261">
        <v>44161574.829999998</v>
      </c>
      <c r="E261">
        <v>8832314966</v>
      </c>
      <c r="F261" t="s">
        <v>33</v>
      </c>
      <c r="G261" t="s">
        <v>41</v>
      </c>
      <c r="H261" t="s">
        <v>16</v>
      </c>
      <c r="I261" t="s">
        <v>16</v>
      </c>
      <c r="J261" t="s">
        <v>16</v>
      </c>
      <c r="K261" t="s">
        <v>16</v>
      </c>
      <c r="L261" t="s">
        <v>228</v>
      </c>
      <c r="M261" t="str">
        <f t="shared" si="8"/>
        <v>challengedwild</v>
      </c>
      <c r="N261" t="s">
        <v>228</v>
      </c>
      <c r="O261" t="s">
        <v>229</v>
      </c>
      <c r="P261" t="s">
        <v>250</v>
      </c>
      <c r="Q261">
        <v>44161574.829999998</v>
      </c>
    </row>
    <row r="262" spans="1:17" x14ac:dyDescent="0.2">
      <c r="A262" t="s">
        <v>255</v>
      </c>
      <c r="B262">
        <v>7.2803254999999997E-2</v>
      </c>
      <c r="C262">
        <v>5299391.8150000004</v>
      </c>
      <c r="D262">
        <v>317963.50890000002</v>
      </c>
      <c r="E262">
        <v>63592701.780000001</v>
      </c>
      <c r="F262" t="s">
        <v>17</v>
      </c>
      <c r="G262" t="s">
        <v>41</v>
      </c>
      <c r="H262" t="s">
        <v>16</v>
      </c>
      <c r="I262" t="s">
        <v>16</v>
      </c>
      <c r="J262" t="s">
        <v>16</v>
      </c>
      <c r="K262" t="s">
        <v>16</v>
      </c>
      <c r="L262" t="s">
        <v>228</v>
      </c>
      <c r="M262" t="str">
        <f t="shared" si="8"/>
        <v>challengedwild</v>
      </c>
      <c r="N262" t="s">
        <v>228</v>
      </c>
      <c r="O262" t="s">
        <v>229</v>
      </c>
      <c r="P262" t="s">
        <v>250</v>
      </c>
      <c r="Q262">
        <v>317963.50890000002</v>
      </c>
    </row>
    <row r="263" spans="1:17" x14ac:dyDescent="0.2">
      <c r="A263" t="s">
        <v>256</v>
      </c>
      <c r="B263">
        <v>0.128400823</v>
      </c>
      <c r="C263">
        <v>7.5458189610000002</v>
      </c>
      <c r="D263">
        <v>0</v>
      </c>
      <c r="E263">
        <v>0</v>
      </c>
      <c r="F263" t="s">
        <v>19</v>
      </c>
      <c r="G263" t="s">
        <v>41</v>
      </c>
      <c r="H263" t="s">
        <v>16</v>
      </c>
      <c r="I263" t="s">
        <v>16</v>
      </c>
      <c r="J263" t="s">
        <v>16</v>
      </c>
      <c r="K263" t="s">
        <v>16</v>
      </c>
      <c r="L263" t="s">
        <v>228</v>
      </c>
      <c r="M263" t="str">
        <f t="shared" si="8"/>
        <v>challengedwild</v>
      </c>
      <c r="N263" t="s">
        <v>228</v>
      </c>
      <c r="O263" t="s">
        <v>229</v>
      </c>
      <c r="P263" t="s">
        <v>250</v>
      </c>
      <c r="Q263">
        <v>0</v>
      </c>
    </row>
    <row r="264" spans="1:17" x14ac:dyDescent="0.2">
      <c r="A264" t="s">
        <v>257</v>
      </c>
      <c r="B264" t="s">
        <v>16</v>
      </c>
      <c r="C264" t="s">
        <v>16</v>
      </c>
      <c r="D264" t="s">
        <v>16</v>
      </c>
      <c r="E264" t="s">
        <v>16</v>
      </c>
      <c r="F264" t="s">
        <v>26</v>
      </c>
      <c r="G264" t="s">
        <v>26</v>
      </c>
      <c r="H264" t="s">
        <v>16</v>
      </c>
      <c r="I264" t="s">
        <v>16</v>
      </c>
      <c r="J264" t="s">
        <v>16</v>
      </c>
      <c r="K264" t="s">
        <v>16</v>
      </c>
      <c r="L264" t="s">
        <v>228</v>
      </c>
      <c r="M264" t="str">
        <f t="shared" si="8"/>
        <v>fecalwild</v>
      </c>
      <c r="N264" t="s">
        <v>228</v>
      </c>
      <c r="O264" t="s">
        <v>229</v>
      </c>
      <c r="P264" t="s">
        <v>258</v>
      </c>
      <c r="Q264" t="s">
        <v>16</v>
      </c>
    </row>
    <row r="265" spans="1:17" x14ac:dyDescent="0.2">
      <c r="A265" t="s">
        <v>988</v>
      </c>
      <c r="B265">
        <v>0.17903651100000001</v>
      </c>
      <c r="C265">
        <v>173296670.59999999</v>
      </c>
      <c r="D265">
        <v>346593.34120000002</v>
      </c>
      <c r="E265">
        <v>69318668.239999995</v>
      </c>
      <c r="F265" t="s">
        <v>33</v>
      </c>
      <c r="G265" t="s">
        <v>32</v>
      </c>
      <c r="H265" t="s">
        <v>16</v>
      </c>
      <c r="I265" t="s">
        <v>16</v>
      </c>
      <c r="J265" t="s">
        <v>16</v>
      </c>
      <c r="K265" t="s">
        <v>16</v>
      </c>
      <c r="L265" t="s">
        <v>228</v>
      </c>
      <c r="M265" t="str">
        <f t="shared" si="8"/>
        <v>abx_challengedwild</v>
      </c>
      <c r="N265" t="s">
        <v>228</v>
      </c>
      <c r="O265" t="s">
        <v>229</v>
      </c>
      <c r="P265" t="s">
        <v>258</v>
      </c>
      <c r="Q265">
        <v>346569.97340000002</v>
      </c>
    </row>
    <row r="266" spans="1:17" x14ac:dyDescent="0.2">
      <c r="A266" t="s">
        <v>259</v>
      </c>
      <c r="B266">
        <v>0.204068633</v>
      </c>
      <c r="C266">
        <v>88863.409520000001</v>
      </c>
      <c r="D266">
        <v>533.18045710000001</v>
      </c>
      <c r="E266">
        <v>106636.0914</v>
      </c>
      <c r="F266" t="s">
        <v>17</v>
      </c>
      <c r="G266" t="s">
        <v>32</v>
      </c>
      <c r="H266" t="s">
        <v>16</v>
      </c>
      <c r="I266" t="s">
        <v>16</v>
      </c>
      <c r="J266" t="s">
        <v>16</v>
      </c>
      <c r="K266" t="s">
        <v>16</v>
      </c>
      <c r="L266" t="s">
        <v>228</v>
      </c>
      <c r="M266" t="str">
        <f t="shared" ref="M266:M329" si="9">CONCATENATE(G266, L266)</f>
        <v>abx_challengedwild</v>
      </c>
      <c r="N266" t="s">
        <v>228</v>
      </c>
      <c r="O266" t="s">
        <v>229</v>
      </c>
      <c r="P266" t="s">
        <v>258</v>
      </c>
      <c r="Q266">
        <v>533.18045710000001</v>
      </c>
    </row>
    <row r="267" spans="1:17" x14ac:dyDescent="0.2">
      <c r="A267" t="s">
        <v>260</v>
      </c>
      <c r="B267" t="s">
        <v>16</v>
      </c>
      <c r="C267">
        <v>252.37259109999999</v>
      </c>
      <c r="D267">
        <v>23.36783251</v>
      </c>
      <c r="E267">
        <v>4673.5665019999997</v>
      </c>
      <c r="F267" t="s">
        <v>19</v>
      </c>
      <c r="G267" t="s">
        <v>32</v>
      </c>
      <c r="H267" t="s">
        <v>16</v>
      </c>
      <c r="I267" t="s">
        <v>16</v>
      </c>
      <c r="J267" t="s">
        <v>16</v>
      </c>
      <c r="K267" t="s">
        <v>16</v>
      </c>
      <c r="L267" t="s">
        <v>228</v>
      </c>
      <c r="M267" t="str">
        <f t="shared" si="9"/>
        <v>abx_challengedwild</v>
      </c>
      <c r="N267" t="s">
        <v>228</v>
      </c>
      <c r="O267" t="s">
        <v>229</v>
      </c>
      <c r="P267" t="s">
        <v>258</v>
      </c>
      <c r="Q267">
        <v>23.36783251</v>
      </c>
    </row>
    <row r="268" spans="1:17" x14ac:dyDescent="0.2">
      <c r="A268" t="s">
        <v>989</v>
      </c>
      <c r="B268" s="1">
        <v>0</v>
      </c>
      <c r="C268">
        <v>658274005.39999998</v>
      </c>
      <c r="D268">
        <v>3949644.0320000001</v>
      </c>
      <c r="E268">
        <v>789928806.39999998</v>
      </c>
      <c r="F268" t="s">
        <v>33</v>
      </c>
      <c r="G268" t="s">
        <v>36</v>
      </c>
      <c r="H268" t="s">
        <v>38</v>
      </c>
      <c r="I268">
        <v>113251654.7</v>
      </c>
      <c r="J268" t="s">
        <v>38</v>
      </c>
      <c r="K268">
        <v>69318668.239999995</v>
      </c>
      <c r="L268" t="s">
        <v>228</v>
      </c>
      <c r="M268" t="str">
        <f t="shared" si="9"/>
        <v>controlwild</v>
      </c>
      <c r="N268" t="s">
        <v>228</v>
      </c>
      <c r="O268" t="s">
        <v>229</v>
      </c>
      <c r="P268" t="s">
        <v>258</v>
      </c>
      <c r="Q268" t="s">
        <v>16</v>
      </c>
    </row>
    <row r="269" spans="1:17" x14ac:dyDescent="0.2">
      <c r="A269" t="s">
        <v>261</v>
      </c>
      <c r="B269" s="1">
        <v>0</v>
      </c>
      <c r="C269" t="s">
        <v>16</v>
      </c>
      <c r="D269">
        <v>0</v>
      </c>
      <c r="E269">
        <v>0</v>
      </c>
      <c r="F269" t="s">
        <v>17</v>
      </c>
      <c r="G269" t="s">
        <v>36</v>
      </c>
      <c r="H269" t="s">
        <v>38</v>
      </c>
      <c r="I269">
        <v>296716838.19999999</v>
      </c>
      <c r="J269" t="s">
        <v>37</v>
      </c>
      <c r="K269">
        <v>106636.0914</v>
      </c>
      <c r="L269" t="s">
        <v>228</v>
      </c>
      <c r="M269" t="str">
        <f t="shared" si="9"/>
        <v>controlwild</v>
      </c>
      <c r="N269" t="s">
        <v>228</v>
      </c>
      <c r="O269" t="s">
        <v>229</v>
      </c>
      <c r="P269" t="s">
        <v>258</v>
      </c>
      <c r="Q269" t="s">
        <v>16</v>
      </c>
    </row>
    <row r="270" spans="1:17" x14ac:dyDescent="0.2">
      <c r="A270" t="s">
        <v>262</v>
      </c>
      <c r="B270" s="1">
        <v>0</v>
      </c>
      <c r="C270" t="s">
        <v>16</v>
      </c>
      <c r="D270">
        <v>0</v>
      </c>
      <c r="E270">
        <v>0</v>
      </c>
      <c r="F270" t="s">
        <v>19</v>
      </c>
      <c r="G270" t="s">
        <v>36</v>
      </c>
      <c r="H270" t="s">
        <v>37</v>
      </c>
      <c r="I270">
        <v>0</v>
      </c>
      <c r="J270" t="s">
        <v>37</v>
      </c>
      <c r="K270">
        <v>4673.5665019999997</v>
      </c>
      <c r="L270" t="s">
        <v>228</v>
      </c>
      <c r="M270" t="str">
        <f t="shared" si="9"/>
        <v>controlwild</v>
      </c>
      <c r="N270" t="s">
        <v>228</v>
      </c>
      <c r="O270" t="s">
        <v>229</v>
      </c>
      <c r="P270" t="s">
        <v>258</v>
      </c>
      <c r="Q270" t="s">
        <v>16</v>
      </c>
    </row>
    <row r="271" spans="1:17" x14ac:dyDescent="0.2">
      <c r="A271" t="s">
        <v>990</v>
      </c>
      <c r="B271">
        <v>0.16677198400000001</v>
      </c>
      <c r="C271">
        <v>9437637.8939999994</v>
      </c>
      <c r="D271">
        <v>566258.27359999996</v>
      </c>
      <c r="E271">
        <v>113251654.7</v>
      </c>
      <c r="F271" t="s">
        <v>33</v>
      </c>
      <c r="G271" t="s">
        <v>41</v>
      </c>
      <c r="H271" t="s">
        <v>16</v>
      </c>
      <c r="I271" t="s">
        <v>16</v>
      </c>
      <c r="J271" t="s">
        <v>16</v>
      </c>
      <c r="K271" t="s">
        <v>16</v>
      </c>
      <c r="L271" t="s">
        <v>228</v>
      </c>
      <c r="M271" t="str">
        <f t="shared" si="9"/>
        <v>challengedwild</v>
      </c>
      <c r="N271" t="s">
        <v>228</v>
      </c>
      <c r="O271" t="s">
        <v>229</v>
      </c>
      <c r="P271" t="s">
        <v>258</v>
      </c>
      <c r="Q271">
        <v>-917325.91729999997</v>
      </c>
    </row>
    <row r="272" spans="1:17" x14ac:dyDescent="0.2">
      <c r="A272" t="s">
        <v>263</v>
      </c>
      <c r="B272">
        <v>0.192845927</v>
      </c>
      <c r="C272">
        <v>24726403.18</v>
      </c>
      <c r="D272">
        <v>1483584.1910000001</v>
      </c>
      <c r="E272">
        <v>296716838.19999999</v>
      </c>
      <c r="F272" t="s">
        <v>17</v>
      </c>
      <c r="G272" t="s">
        <v>41</v>
      </c>
      <c r="H272" t="s">
        <v>16</v>
      </c>
      <c r="I272" t="s">
        <v>16</v>
      </c>
      <c r="J272" t="s">
        <v>16</v>
      </c>
      <c r="K272" t="s">
        <v>16</v>
      </c>
      <c r="L272" t="s">
        <v>228</v>
      </c>
      <c r="M272" t="str">
        <f t="shared" si="9"/>
        <v>challengedwild</v>
      </c>
      <c r="N272" t="s">
        <v>228</v>
      </c>
      <c r="O272" t="s">
        <v>229</v>
      </c>
      <c r="P272" t="s">
        <v>258</v>
      </c>
      <c r="Q272">
        <v>1483584.1910000001</v>
      </c>
    </row>
    <row r="273" spans="1:17" x14ac:dyDescent="0.2">
      <c r="A273" t="s">
        <v>264</v>
      </c>
      <c r="B273">
        <v>0.16362136499999999</v>
      </c>
      <c r="C273">
        <v>14.577440169999999</v>
      </c>
      <c r="D273">
        <v>0</v>
      </c>
      <c r="E273">
        <v>0</v>
      </c>
      <c r="F273" t="s">
        <v>19</v>
      </c>
      <c r="G273" t="s">
        <v>41</v>
      </c>
      <c r="H273" t="s">
        <v>16</v>
      </c>
      <c r="I273" t="s">
        <v>16</v>
      </c>
      <c r="J273" t="s">
        <v>16</v>
      </c>
      <c r="K273" t="s">
        <v>16</v>
      </c>
      <c r="L273" t="s">
        <v>228</v>
      </c>
      <c r="M273" t="str">
        <f t="shared" si="9"/>
        <v>challengedwild</v>
      </c>
      <c r="N273" t="s">
        <v>228</v>
      </c>
      <c r="O273" t="s">
        <v>229</v>
      </c>
      <c r="P273" t="s">
        <v>258</v>
      </c>
      <c r="Q273">
        <v>0</v>
      </c>
    </row>
    <row r="274" spans="1:17" x14ac:dyDescent="0.2">
      <c r="A274" t="s">
        <v>991</v>
      </c>
      <c r="B274">
        <v>0.15136202200000001</v>
      </c>
      <c r="C274">
        <v>215626293.30000001</v>
      </c>
      <c r="D274">
        <v>431252.58649999998</v>
      </c>
      <c r="E274">
        <v>86250517.310000002</v>
      </c>
      <c r="F274" t="s">
        <v>33</v>
      </c>
      <c r="G274" t="s">
        <v>32</v>
      </c>
      <c r="H274" t="s">
        <v>16</v>
      </c>
      <c r="I274" t="s">
        <v>16</v>
      </c>
      <c r="J274" t="s">
        <v>16</v>
      </c>
      <c r="K274" t="s">
        <v>16</v>
      </c>
      <c r="L274" t="s">
        <v>228</v>
      </c>
      <c r="M274" t="str">
        <f t="shared" si="9"/>
        <v>abx_challengedwild</v>
      </c>
      <c r="N274" t="s">
        <v>228</v>
      </c>
      <c r="O274" t="s">
        <v>229</v>
      </c>
      <c r="P274" t="s">
        <v>230</v>
      </c>
      <c r="Q274">
        <v>346977.41200000001</v>
      </c>
    </row>
    <row r="275" spans="1:17" x14ac:dyDescent="0.2">
      <c r="A275" t="s">
        <v>265</v>
      </c>
      <c r="B275">
        <v>0.182153488</v>
      </c>
      <c r="C275">
        <v>14045862.42</v>
      </c>
      <c r="D275">
        <v>84275.17452</v>
      </c>
      <c r="E275">
        <v>16855034.899999999</v>
      </c>
      <c r="F275" t="s">
        <v>17</v>
      </c>
      <c r="G275" t="s">
        <v>32</v>
      </c>
      <c r="H275" t="s">
        <v>16</v>
      </c>
      <c r="I275" t="s">
        <v>16</v>
      </c>
      <c r="J275" t="s">
        <v>16</v>
      </c>
      <c r="K275" t="s">
        <v>16</v>
      </c>
      <c r="L275" t="s">
        <v>228</v>
      </c>
      <c r="M275" t="str">
        <f t="shared" si="9"/>
        <v>abx_challengedwild</v>
      </c>
      <c r="N275" t="s">
        <v>228</v>
      </c>
      <c r="O275" t="s">
        <v>229</v>
      </c>
      <c r="P275" t="s">
        <v>230</v>
      </c>
      <c r="Q275">
        <v>-382289.33429999999</v>
      </c>
    </row>
    <row r="276" spans="1:17" x14ac:dyDescent="0.2">
      <c r="A276" t="s">
        <v>266</v>
      </c>
      <c r="B276">
        <v>0.15067125100000001</v>
      </c>
      <c r="C276">
        <v>38.025471680000003</v>
      </c>
      <c r="D276">
        <v>0</v>
      </c>
      <c r="E276">
        <v>0</v>
      </c>
      <c r="F276" t="s">
        <v>19</v>
      </c>
      <c r="G276" t="s">
        <v>32</v>
      </c>
      <c r="H276" t="s">
        <v>16</v>
      </c>
      <c r="I276" t="s">
        <v>16</v>
      </c>
      <c r="J276" t="s">
        <v>16</v>
      </c>
      <c r="K276" t="s">
        <v>16</v>
      </c>
      <c r="L276" t="s">
        <v>228</v>
      </c>
      <c r="M276" t="str">
        <f t="shared" si="9"/>
        <v>abx_challengedwild</v>
      </c>
      <c r="N276" t="s">
        <v>228</v>
      </c>
      <c r="O276" t="s">
        <v>229</v>
      </c>
      <c r="P276" t="s">
        <v>230</v>
      </c>
      <c r="Q276">
        <v>0</v>
      </c>
    </row>
    <row r="277" spans="1:17" x14ac:dyDescent="0.2">
      <c r="A277" t="s">
        <v>992</v>
      </c>
      <c r="B277" s="1">
        <v>0</v>
      </c>
      <c r="C277">
        <v>77760751.469999999</v>
      </c>
      <c r="D277">
        <v>466564.50880000001</v>
      </c>
      <c r="E277">
        <v>93312901.769999996</v>
      </c>
      <c r="F277" t="s">
        <v>33</v>
      </c>
      <c r="G277" t="s">
        <v>36</v>
      </c>
      <c r="H277" t="s">
        <v>38</v>
      </c>
      <c r="I277">
        <v>902751918.20000005</v>
      </c>
      <c r="J277" t="s">
        <v>38</v>
      </c>
      <c r="K277">
        <v>86250517.310000002</v>
      </c>
      <c r="L277" t="s">
        <v>228</v>
      </c>
      <c r="M277" t="str">
        <f t="shared" si="9"/>
        <v>controlwild</v>
      </c>
      <c r="N277" t="s">
        <v>228</v>
      </c>
      <c r="O277" t="s">
        <v>229</v>
      </c>
      <c r="P277" t="s">
        <v>230</v>
      </c>
      <c r="Q277" t="s">
        <v>16</v>
      </c>
    </row>
    <row r="278" spans="1:17" x14ac:dyDescent="0.2">
      <c r="A278" t="s">
        <v>267</v>
      </c>
      <c r="B278" s="1">
        <v>0</v>
      </c>
      <c r="C278">
        <v>30090.7559</v>
      </c>
      <c r="D278">
        <v>1805.445354</v>
      </c>
      <c r="E278">
        <v>361089.07079999999</v>
      </c>
      <c r="F278" t="s">
        <v>17</v>
      </c>
      <c r="G278" t="s">
        <v>36</v>
      </c>
      <c r="H278" t="s">
        <v>38</v>
      </c>
      <c r="I278">
        <v>300057830.60000002</v>
      </c>
      <c r="J278" t="s">
        <v>38</v>
      </c>
      <c r="K278">
        <v>16855034.899999999</v>
      </c>
      <c r="L278" t="s">
        <v>228</v>
      </c>
      <c r="M278" t="str">
        <f t="shared" si="9"/>
        <v>controlwild</v>
      </c>
      <c r="N278" t="s">
        <v>228</v>
      </c>
      <c r="O278" t="s">
        <v>229</v>
      </c>
      <c r="P278" t="s">
        <v>230</v>
      </c>
      <c r="Q278" t="s">
        <v>16</v>
      </c>
    </row>
    <row r="279" spans="1:17" x14ac:dyDescent="0.2">
      <c r="A279" t="s">
        <v>268</v>
      </c>
      <c r="B279" s="1">
        <v>0</v>
      </c>
      <c r="C279">
        <v>33.760051920000002</v>
      </c>
      <c r="D279">
        <v>0</v>
      </c>
      <c r="E279">
        <v>0</v>
      </c>
      <c r="F279" t="s">
        <v>19</v>
      </c>
      <c r="G279" t="s">
        <v>36</v>
      </c>
      <c r="H279" t="s">
        <v>37</v>
      </c>
      <c r="I279">
        <v>0</v>
      </c>
      <c r="J279" t="s">
        <v>37</v>
      </c>
      <c r="K279">
        <v>0</v>
      </c>
      <c r="L279" t="s">
        <v>228</v>
      </c>
      <c r="M279" t="str">
        <f t="shared" si="9"/>
        <v>controlwild</v>
      </c>
      <c r="N279" t="s">
        <v>228</v>
      </c>
      <c r="O279" t="s">
        <v>229</v>
      </c>
      <c r="P279" t="s">
        <v>230</v>
      </c>
      <c r="Q279" t="s">
        <v>16</v>
      </c>
    </row>
    <row r="280" spans="1:17" x14ac:dyDescent="0.2">
      <c r="A280" t="s">
        <v>993</v>
      </c>
      <c r="B280">
        <v>0.14817334900000001</v>
      </c>
      <c r="C280">
        <v>75229326.519999996</v>
      </c>
      <c r="D280">
        <v>4513759.591</v>
      </c>
      <c r="E280">
        <v>902751918.20000005</v>
      </c>
      <c r="F280" t="s">
        <v>33</v>
      </c>
      <c r="G280" t="s">
        <v>41</v>
      </c>
      <c r="H280" t="s">
        <v>16</v>
      </c>
      <c r="I280" t="s">
        <v>16</v>
      </c>
      <c r="J280" t="s">
        <v>16</v>
      </c>
      <c r="K280" t="s">
        <v>16</v>
      </c>
      <c r="L280" t="s">
        <v>228</v>
      </c>
      <c r="M280" t="str">
        <f t="shared" si="9"/>
        <v>challengedwild</v>
      </c>
      <c r="N280" t="s">
        <v>228</v>
      </c>
      <c r="O280" t="s">
        <v>229</v>
      </c>
      <c r="P280" t="s">
        <v>230</v>
      </c>
      <c r="Q280">
        <v>4513759.591</v>
      </c>
    </row>
    <row r="281" spans="1:17" x14ac:dyDescent="0.2">
      <c r="A281" t="s">
        <v>269</v>
      </c>
      <c r="B281">
        <v>0.160646712</v>
      </c>
      <c r="C281">
        <v>25004819.219999999</v>
      </c>
      <c r="D281">
        <v>1500289.1529999999</v>
      </c>
      <c r="E281">
        <v>300057830.60000002</v>
      </c>
      <c r="F281" t="s">
        <v>17</v>
      </c>
      <c r="G281" t="s">
        <v>41</v>
      </c>
      <c r="H281" t="s">
        <v>16</v>
      </c>
      <c r="I281" t="s">
        <v>16</v>
      </c>
      <c r="J281" t="s">
        <v>16</v>
      </c>
      <c r="K281" t="s">
        <v>16</v>
      </c>
      <c r="L281" t="s">
        <v>228</v>
      </c>
      <c r="M281" t="str">
        <f t="shared" si="9"/>
        <v>challengedwild</v>
      </c>
      <c r="N281" t="s">
        <v>228</v>
      </c>
      <c r="O281" t="s">
        <v>229</v>
      </c>
      <c r="P281" t="s">
        <v>230</v>
      </c>
      <c r="Q281">
        <v>1500289.1529999999</v>
      </c>
    </row>
    <row r="282" spans="1:17" x14ac:dyDescent="0.2">
      <c r="A282" t="s">
        <v>270</v>
      </c>
      <c r="B282">
        <v>0.19539990099999999</v>
      </c>
      <c r="C282">
        <v>3.1970583490000002</v>
      </c>
      <c r="D282">
        <v>0</v>
      </c>
      <c r="E282">
        <v>0</v>
      </c>
      <c r="F282" t="s">
        <v>19</v>
      </c>
      <c r="G282" t="s">
        <v>41</v>
      </c>
      <c r="H282" t="s">
        <v>16</v>
      </c>
      <c r="I282" t="s">
        <v>16</v>
      </c>
      <c r="J282" t="s">
        <v>16</v>
      </c>
      <c r="K282" t="s">
        <v>16</v>
      </c>
      <c r="L282" t="s">
        <v>228</v>
      </c>
      <c r="M282" t="str">
        <f t="shared" si="9"/>
        <v>challengedwild</v>
      </c>
      <c r="N282" t="s">
        <v>228</v>
      </c>
      <c r="O282" t="s">
        <v>229</v>
      </c>
      <c r="P282" t="s">
        <v>230</v>
      </c>
      <c r="Q282">
        <v>0</v>
      </c>
    </row>
    <row r="283" spans="1:17" x14ac:dyDescent="0.2">
      <c r="A283" t="s">
        <v>271</v>
      </c>
      <c r="B283" t="s">
        <v>16</v>
      </c>
      <c r="C283" t="s">
        <v>16</v>
      </c>
      <c r="D283" t="s">
        <v>16</v>
      </c>
      <c r="E283" t="s">
        <v>16</v>
      </c>
      <c r="F283" t="s">
        <v>26</v>
      </c>
      <c r="G283" t="s">
        <v>26</v>
      </c>
      <c r="H283" t="s">
        <v>16</v>
      </c>
      <c r="I283" t="s">
        <v>16</v>
      </c>
      <c r="J283" t="s">
        <v>16</v>
      </c>
      <c r="K283" t="s">
        <v>16</v>
      </c>
      <c r="L283" t="s">
        <v>228</v>
      </c>
      <c r="M283" t="str">
        <f t="shared" si="9"/>
        <v>fecalwild</v>
      </c>
      <c r="N283" t="s">
        <v>228</v>
      </c>
      <c r="O283" t="s">
        <v>229</v>
      </c>
      <c r="P283" t="s">
        <v>272</v>
      </c>
      <c r="Q283" t="s">
        <v>16</v>
      </c>
    </row>
    <row r="284" spans="1:17" x14ac:dyDescent="0.2">
      <c r="A284" t="s">
        <v>273</v>
      </c>
      <c r="B284">
        <v>0.157379622</v>
      </c>
      <c r="C284">
        <v>200.57823306386265</v>
      </c>
      <c r="D284">
        <v>18.572058617024318</v>
      </c>
      <c r="E284">
        <f>D284*200</f>
        <v>3714.4117234048636</v>
      </c>
      <c r="F284" t="s">
        <v>19</v>
      </c>
      <c r="G284" t="s">
        <v>32</v>
      </c>
      <c r="H284" t="s">
        <v>16</v>
      </c>
      <c r="I284" t="s">
        <v>16</v>
      </c>
      <c r="J284" t="s">
        <v>16</v>
      </c>
      <c r="K284" t="s">
        <v>16</v>
      </c>
      <c r="L284" t="s">
        <v>228</v>
      </c>
      <c r="M284" t="str">
        <f t="shared" si="9"/>
        <v>abx_challengedwild</v>
      </c>
      <c r="N284" t="s">
        <v>228</v>
      </c>
      <c r="O284" t="s">
        <v>229</v>
      </c>
      <c r="P284" t="s">
        <v>272</v>
      </c>
      <c r="Q284">
        <f>3714.411723</f>
        <v>3714.4117230000002</v>
      </c>
    </row>
    <row r="285" spans="1:17" x14ac:dyDescent="0.2">
      <c r="A285" t="s">
        <v>274</v>
      </c>
      <c r="B285">
        <v>0</v>
      </c>
      <c r="C285" t="s">
        <v>16</v>
      </c>
      <c r="D285">
        <v>0</v>
      </c>
      <c r="E285">
        <f t="shared" ref="E285:E286" si="10">D285*200</f>
        <v>0</v>
      </c>
      <c r="F285" t="s">
        <v>19</v>
      </c>
      <c r="G285" t="s">
        <v>36</v>
      </c>
      <c r="H285" t="s">
        <v>37</v>
      </c>
      <c r="I285">
        <v>75598.709010000006</v>
      </c>
      <c r="J285" t="s">
        <v>37</v>
      </c>
      <c r="K285">
        <v>3714.4117230000002</v>
      </c>
      <c r="L285" t="s">
        <v>228</v>
      </c>
      <c r="M285" t="str">
        <f t="shared" si="9"/>
        <v>controlwild</v>
      </c>
      <c r="N285" t="s">
        <v>228</v>
      </c>
      <c r="O285" t="s">
        <v>229</v>
      </c>
      <c r="P285" t="s">
        <v>272</v>
      </c>
      <c r="Q285" t="s">
        <v>16</v>
      </c>
    </row>
    <row r="286" spans="1:17" x14ac:dyDescent="0.2">
      <c r="A286" t="s">
        <v>275</v>
      </c>
      <c r="B286">
        <v>0.14138410500000001</v>
      </c>
      <c r="C286">
        <v>4082.3302867440634</v>
      </c>
      <c r="D286">
        <v>377.99354506889478</v>
      </c>
      <c r="E286">
        <f t="shared" si="10"/>
        <v>75598.709013778949</v>
      </c>
      <c r="F286" t="s">
        <v>19</v>
      </c>
      <c r="G286" t="s">
        <v>41</v>
      </c>
      <c r="H286" t="s">
        <v>16</v>
      </c>
      <c r="I286" t="s">
        <v>16</v>
      </c>
      <c r="J286" t="s">
        <v>16</v>
      </c>
      <c r="K286" t="s">
        <v>16</v>
      </c>
      <c r="L286" t="s">
        <v>228</v>
      </c>
      <c r="M286" t="str">
        <f t="shared" si="9"/>
        <v>challengedwild</v>
      </c>
      <c r="N286" t="s">
        <v>228</v>
      </c>
      <c r="O286" t="s">
        <v>229</v>
      </c>
      <c r="P286" t="s">
        <v>272</v>
      </c>
      <c r="Q286">
        <f>I285</f>
        <v>75598.709010000006</v>
      </c>
    </row>
    <row r="287" spans="1:17" x14ac:dyDescent="0.2">
      <c r="A287" t="s">
        <v>276</v>
      </c>
      <c r="B287" t="s">
        <v>16</v>
      </c>
      <c r="C287" t="s">
        <v>16</v>
      </c>
      <c r="D287" t="s">
        <v>16</v>
      </c>
      <c r="E287" t="s">
        <v>16</v>
      </c>
      <c r="F287" t="s">
        <v>26</v>
      </c>
      <c r="G287" t="s">
        <v>26</v>
      </c>
      <c r="H287" t="s">
        <v>16</v>
      </c>
      <c r="I287" t="s">
        <v>16</v>
      </c>
      <c r="J287" t="s">
        <v>16</v>
      </c>
      <c r="K287" t="s">
        <v>16</v>
      </c>
      <c r="L287" t="s">
        <v>228</v>
      </c>
      <c r="M287" t="str">
        <f t="shared" si="9"/>
        <v>fecalwild</v>
      </c>
      <c r="N287" t="s">
        <v>228</v>
      </c>
      <c r="O287" t="s">
        <v>229</v>
      </c>
      <c r="P287" t="s">
        <v>277</v>
      </c>
      <c r="Q287" t="s">
        <v>16</v>
      </c>
    </row>
    <row r="288" spans="1:17" x14ac:dyDescent="0.2">
      <c r="A288" t="s">
        <v>994</v>
      </c>
      <c r="B288">
        <v>0.117631793</v>
      </c>
      <c r="C288">
        <v>303427080.69999999</v>
      </c>
      <c r="D288">
        <v>606854.16150000005</v>
      </c>
      <c r="E288">
        <v>121370832.3</v>
      </c>
      <c r="F288" t="s">
        <v>33</v>
      </c>
      <c r="G288" t="s">
        <v>32</v>
      </c>
      <c r="H288" t="s">
        <v>16</v>
      </c>
      <c r="I288" t="s">
        <v>16</v>
      </c>
      <c r="J288" t="s">
        <v>16</v>
      </c>
      <c r="K288" t="s">
        <v>16</v>
      </c>
      <c r="L288" t="s">
        <v>228</v>
      </c>
      <c r="M288" t="str">
        <f t="shared" si="9"/>
        <v>abx_challengedwild</v>
      </c>
      <c r="N288" t="s">
        <v>228</v>
      </c>
      <c r="O288" t="s">
        <v>229</v>
      </c>
      <c r="P288" t="s">
        <v>277</v>
      </c>
      <c r="Q288">
        <v>606854.16150000005</v>
      </c>
    </row>
    <row r="289" spans="1:17" x14ac:dyDescent="0.2">
      <c r="A289" t="s">
        <v>278</v>
      </c>
      <c r="B289">
        <v>0.27455739899999998</v>
      </c>
      <c r="C289">
        <v>12644690.939999999</v>
      </c>
      <c r="D289">
        <v>75868.145659999995</v>
      </c>
      <c r="E289">
        <v>15173629.130000001</v>
      </c>
      <c r="F289" t="s">
        <v>17</v>
      </c>
      <c r="G289" t="s">
        <v>32</v>
      </c>
      <c r="H289" t="s">
        <v>16</v>
      </c>
      <c r="I289" t="s">
        <v>16</v>
      </c>
      <c r="J289" t="s">
        <v>16</v>
      </c>
      <c r="K289" t="s">
        <v>16</v>
      </c>
      <c r="L289" t="s">
        <v>228</v>
      </c>
      <c r="M289" t="str">
        <f t="shared" si="9"/>
        <v>abx_challengedwild</v>
      </c>
      <c r="N289" t="s">
        <v>228</v>
      </c>
      <c r="O289" t="s">
        <v>229</v>
      </c>
      <c r="P289" t="s">
        <v>277</v>
      </c>
      <c r="Q289">
        <v>75868.145659999995</v>
      </c>
    </row>
    <row r="290" spans="1:17" x14ac:dyDescent="0.2">
      <c r="A290" t="s">
        <v>279</v>
      </c>
      <c r="B290">
        <v>0.10320035499999999</v>
      </c>
      <c r="C290" t="s">
        <v>16</v>
      </c>
      <c r="D290">
        <v>0</v>
      </c>
      <c r="E290">
        <v>0</v>
      </c>
      <c r="F290" t="s">
        <v>19</v>
      </c>
      <c r="G290" t="s">
        <v>32</v>
      </c>
      <c r="H290" t="s">
        <v>16</v>
      </c>
      <c r="I290" t="s">
        <v>16</v>
      </c>
      <c r="J290" t="s">
        <v>16</v>
      </c>
      <c r="K290" t="s">
        <v>16</v>
      </c>
      <c r="L290" t="s">
        <v>228</v>
      </c>
      <c r="M290" t="str">
        <f t="shared" si="9"/>
        <v>abx_challengedwild</v>
      </c>
      <c r="N290" t="s">
        <v>228</v>
      </c>
      <c r="O290" t="s">
        <v>229</v>
      </c>
      <c r="P290" t="s">
        <v>277</v>
      </c>
      <c r="Q290">
        <v>-606854.16150000005</v>
      </c>
    </row>
    <row r="291" spans="1:17" x14ac:dyDescent="0.2">
      <c r="A291" t="s">
        <v>995</v>
      </c>
      <c r="B291" s="1">
        <v>0</v>
      </c>
      <c r="C291">
        <v>968708482.29999995</v>
      </c>
      <c r="D291">
        <v>5812250.8940000003</v>
      </c>
      <c r="E291">
        <v>1162450179</v>
      </c>
      <c r="F291" t="s">
        <v>33</v>
      </c>
      <c r="G291" t="s">
        <v>36</v>
      </c>
      <c r="H291" t="s">
        <v>38</v>
      </c>
      <c r="I291">
        <v>4107113116</v>
      </c>
      <c r="J291" t="s">
        <v>38</v>
      </c>
      <c r="K291">
        <v>121370832.3</v>
      </c>
      <c r="L291" t="s">
        <v>228</v>
      </c>
      <c r="M291" t="str">
        <f t="shared" si="9"/>
        <v>controlwild</v>
      </c>
      <c r="N291" t="s">
        <v>228</v>
      </c>
      <c r="O291" t="s">
        <v>229</v>
      </c>
      <c r="P291" t="s">
        <v>277</v>
      </c>
      <c r="Q291" t="s">
        <v>16</v>
      </c>
    </row>
    <row r="292" spans="1:17" x14ac:dyDescent="0.2">
      <c r="A292" t="s">
        <v>280</v>
      </c>
      <c r="B292" s="1">
        <v>0</v>
      </c>
      <c r="C292" t="s">
        <v>16</v>
      </c>
      <c r="D292">
        <v>0</v>
      </c>
      <c r="E292">
        <v>0</v>
      </c>
      <c r="F292" t="s">
        <v>17</v>
      </c>
      <c r="G292" t="s">
        <v>36</v>
      </c>
      <c r="H292" t="s">
        <v>38</v>
      </c>
      <c r="I292">
        <v>329215283.69999999</v>
      </c>
      <c r="J292" t="s">
        <v>38</v>
      </c>
      <c r="K292">
        <v>15173629.130000001</v>
      </c>
      <c r="L292" t="s">
        <v>228</v>
      </c>
      <c r="M292" t="str">
        <f t="shared" si="9"/>
        <v>controlwild</v>
      </c>
      <c r="N292" t="s">
        <v>228</v>
      </c>
      <c r="O292" t="s">
        <v>229</v>
      </c>
      <c r="P292" t="s">
        <v>277</v>
      </c>
      <c r="Q292" t="s">
        <v>16</v>
      </c>
    </row>
    <row r="293" spans="1:17" x14ac:dyDescent="0.2">
      <c r="A293" t="s">
        <v>281</v>
      </c>
      <c r="B293" s="1">
        <v>0</v>
      </c>
      <c r="C293">
        <v>90.865131969999993</v>
      </c>
      <c r="D293">
        <v>8.4134381460000007</v>
      </c>
      <c r="E293">
        <v>1682.687629</v>
      </c>
      <c r="F293" t="s">
        <v>19</v>
      </c>
      <c r="G293" t="s">
        <v>36</v>
      </c>
      <c r="H293" t="s">
        <v>37</v>
      </c>
      <c r="I293">
        <v>8659.2744039999998</v>
      </c>
      <c r="J293" t="s">
        <v>37</v>
      </c>
      <c r="K293">
        <v>0</v>
      </c>
      <c r="L293" t="s">
        <v>228</v>
      </c>
      <c r="M293" t="str">
        <f t="shared" si="9"/>
        <v>controlwild</v>
      </c>
      <c r="N293" t="s">
        <v>228</v>
      </c>
      <c r="O293" t="s">
        <v>229</v>
      </c>
      <c r="P293" t="s">
        <v>277</v>
      </c>
      <c r="Q293" t="s">
        <v>16</v>
      </c>
    </row>
    <row r="294" spans="1:17" x14ac:dyDescent="0.2">
      <c r="A294" t="s">
        <v>996</v>
      </c>
      <c r="B294">
        <v>7.2503538000000006E-2</v>
      </c>
      <c r="C294">
        <v>342259426.39999998</v>
      </c>
      <c r="D294">
        <v>20535565.579999998</v>
      </c>
      <c r="E294">
        <v>4107113116</v>
      </c>
      <c r="F294" t="s">
        <v>33</v>
      </c>
      <c r="G294" t="s">
        <v>41</v>
      </c>
      <c r="H294" t="s">
        <v>16</v>
      </c>
      <c r="I294" t="s">
        <v>16</v>
      </c>
      <c r="J294" t="s">
        <v>16</v>
      </c>
      <c r="K294" t="s">
        <v>16</v>
      </c>
      <c r="L294" t="s">
        <v>228</v>
      </c>
      <c r="M294" t="str">
        <f t="shared" si="9"/>
        <v>challengedwild</v>
      </c>
      <c r="N294" t="s">
        <v>228</v>
      </c>
      <c r="O294" t="s">
        <v>229</v>
      </c>
      <c r="P294" t="s">
        <v>277</v>
      </c>
      <c r="Q294">
        <v>18889489.16</v>
      </c>
    </row>
    <row r="295" spans="1:17" x14ac:dyDescent="0.2">
      <c r="A295" t="s">
        <v>282</v>
      </c>
      <c r="B295">
        <v>0.26594058500000001</v>
      </c>
      <c r="C295">
        <v>27434606.98</v>
      </c>
      <c r="D295">
        <v>1646076.419</v>
      </c>
      <c r="E295">
        <v>329215283.69999999</v>
      </c>
      <c r="F295" t="s">
        <v>17</v>
      </c>
      <c r="G295" t="s">
        <v>41</v>
      </c>
      <c r="H295" t="s">
        <v>16</v>
      </c>
      <c r="I295" t="s">
        <v>16</v>
      </c>
      <c r="J295" t="s">
        <v>16</v>
      </c>
      <c r="K295" t="s">
        <v>16</v>
      </c>
      <c r="L295" t="s">
        <v>228</v>
      </c>
      <c r="M295" t="str">
        <f t="shared" si="9"/>
        <v>challengedwild</v>
      </c>
      <c r="N295" t="s">
        <v>228</v>
      </c>
      <c r="O295" t="s">
        <v>229</v>
      </c>
      <c r="P295" t="s">
        <v>277</v>
      </c>
      <c r="Q295">
        <v>1646076.419</v>
      </c>
    </row>
    <row r="296" spans="1:17" x14ac:dyDescent="0.2">
      <c r="A296" t="s">
        <v>283</v>
      </c>
      <c r="B296">
        <v>6.8791953000000003E-2</v>
      </c>
      <c r="C296">
        <v>467.60081780000002</v>
      </c>
      <c r="D296">
        <v>43.29637202</v>
      </c>
      <c r="E296">
        <v>8659.2744039999998</v>
      </c>
      <c r="F296" t="s">
        <v>19</v>
      </c>
      <c r="G296" t="s">
        <v>41</v>
      </c>
      <c r="H296" t="s">
        <v>16</v>
      </c>
      <c r="I296" t="s">
        <v>16</v>
      </c>
      <c r="J296" t="s">
        <v>16</v>
      </c>
      <c r="K296" t="s">
        <v>16</v>
      </c>
      <c r="L296" t="s">
        <v>228</v>
      </c>
      <c r="M296" t="str">
        <f t="shared" si="9"/>
        <v>challengedwild</v>
      </c>
      <c r="N296" t="s">
        <v>228</v>
      </c>
      <c r="O296" t="s">
        <v>229</v>
      </c>
      <c r="P296" t="s">
        <v>277</v>
      </c>
      <c r="Q296">
        <v>-1646033.122</v>
      </c>
    </row>
    <row r="297" spans="1:17" x14ac:dyDescent="0.2">
      <c r="A297" t="s">
        <v>284</v>
      </c>
      <c r="B297" t="s">
        <v>16</v>
      </c>
      <c r="C297" t="s">
        <v>16</v>
      </c>
      <c r="D297" t="s">
        <v>16</v>
      </c>
      <c r="E297" t="s">
        <v>16</v>
      </c>
      <c r="F297" t="s">
        <v>26</v>
      </c>
      <c r="G297" t="s">
        <v>26</v>
      </c>
      <c r="H297" t="s">
        <v>16</v>
      </c>
      <c r="I297" t="s">
        <v>16</v>
      </c>
      <c r="J297" t="s">
        <v>16</v>
      </c>
      <c r="K297" t="s">
        <v>16</v>
      </c>
      <c r="L297" t="s">
        <v>228</v>
      </c>
      <c r="M297" t="str">
        <f t="shared" si="9"/>
        <v>fecalwild</v>
      </c>
      <c r="N297" t="s">
        <v>228</v>
      </c>
      <c r="O297" t="s">
        <v>229</v>
      </c>
      <c r="P297" t="s">
        <v>285</v>
      </c>
      <c r="Q297" t="s">
        <v>16</v>
      </c>
    </row>
    <row r="298" spans="1:17" x14ac:dyDescent="0.2">
      <c r="A298" t="s">
        <v>997</v>
      </c>
      <c r="B298">
        <v>0.15124156699999999</v>
      </c>
      <c r="C298">
        <v>211779639.19999999</v>
      </c>
      <c r="D298">
        <v>423559.27840000001</v>
      </c>
      <c r="E298">
        <v>84711855.670000002</v>
      </c>
      <c r="F298" t="s">
        <v>33</v>
      </c>
      <c r="G298" t="s">
        <v>32</v>
      </c>
      <c r="H298" t="s">
        <v>16</v>
      </c>
      <c r="I298" t="s">
        <v>16</v>
      </c>
      <c r="J298" t="s">
        <v>16</v>
      </c>
      <c r="K298" t="s">
        <v>16</v>
      </c>
      <c r="L298" t="s">
        <v>228</v>
      </c>
      <c r="M298" t="str">
        <f t="shared" si="9"/>
        <v>abx_challengedwild</v>
      </c>
      <c r="N298" t="s">
        <v>228</v>
      </c>
      <c r="O298" t="s">
        <v>229</v>
      </c>
      <c r="P298" t="s">
        <v>285</v>
      </c>
      <c r="Q298">
        <v>387651.39490000001</v>
      </c>
    </row>
    <row r="299" spans="1:17" x14ac:dyDescent="0.2">
      <c r="A299" t="s">
        <v>286</v>
      </c>
      <c r="B299">
        <v>0.182236923</v>
      </c>
      <c r="C299">
        <v>5984647.2429999998</v>
      </c>
      <c r="D299">
        <v>35907.883459999997</v>
      </c>
      <c r="E299">
        <v>7181576.6919999998</v>
      </c>
      <c r="F299" t="s">
        <v>17</v>
      </c>
      <c r="G299" t="s">
        <v>32</v>
      </c>
      <c r="H299" t="s">
        <v>16</v>
      </c>
      <c r="I299" t="s">
        <v>16</v>
      </c>
      <c r="J299" t="s">
        <v>16</v>
      </c>
      <c r="K299" t="s">
        <v>16</v>
      </c>
      <c r="L299" t="s">
        <v>228</v>
      </c>
      <c r="M299" t="str">
        <f t="shared" si="9"/>
        <v>abx_challengedwild</v>
      </c>
      <c r="N299" t="s">
        <v>228</v>
      </c>
      <c r="O299" t="s">
        <v>229</v>
      </c>
      <c r="P299" t="s">
        <v>285</v>
      </c>
      <c r="Q299">
        <v>35907.883459999997</v>
      </c>
    </row>
    <row r="300" spans="1:17" x14ac:dyDescent="0.2">
      <c r="A300" t="s">
        <v>287</v>
      </c>
      <c r="B300">
        <v>0.13907718299999999</v>
      </c>
      <c r="C300">
        <v>16.78046436</v>
      </c>
      <c r="D300">
        <v>0</v>
      </c>
      <c r="E300">
        <v>0</v>
      </c>
      <c r="F300" t="s">
        <v>19</v>
      </c>
      <c r="G300" t="s">
        <v>32</v>
      </c>
      <c r="H300" t="s">
        <v>16</v>
      </c>
      <c r="I300" t="s">
        <v>16</v>
      </c>
      <c r="J300" t="s">
        <v>16</v>
      </c>
      <c r="K300" t="s">
        <v>16</v>
      </c>
      <c r="L300" t="s">
        <v>228</v>
      </c>
      <c r="M300" t="str">
        <f t="shared" si="9"/>
        <v>abx_challengedwild</v>
      </c>
      <c r="N300" t="s">
        <v>228</v>
      </c>
      <c r="O300" t="s">
        <v>229</v>
      </c>
      <c r="P300" t="s">
        <v>285</v>
      </c>
      <c r="Q300">
        <v>0</v>
      </c>
    </row>
    <row r="301" spans="1:17" x14ac:dyDescent="0.2">
      <c r="A301" s="1" t="s">
        <v>998</v>
      </c>
      <c r="B301" s="1">
        <v>0</v>
      </c>
      <c r="C301">
        <v>103627449.59999999</v>
      </c>
      <c r="D301">
        <v>621764.69750000001</v>
      </c>
      <c r="E301">
        <v>124352939.5</v>
      </c>
      <c r="F301" t="s">
        <v>33</v>
      </c>
      <c r="G301" t="s">
        <v>36</v>
      </c>
      <c r="H301" t="s">
        <v>38</v>
      </c>
      <c r="I301">
        <v>260476426.59999999</v>
      </c>
      <c r="J301" t="s">
        <v>38</v>
      </c>
      <c r="K301">
        <v>84711855.670000002</v>
      </c>
      <c r="L301" t="s">
        <v>228</v>
      </c>
      <c r="M301" t="str">
        <f t="shared" si="9"/>
        <v>controlwild</v>
      </c>
      <c r="N301" t="s">
        <v>228</v>
      </c>
      <c r="O301" t="s">
        <v>229</v>
      </c>
      <c r="P301" t="s">
        <v>285</v>
      </c>
      <c r="Q301" t="s">
        <v>16</v>
      </c>
    </row>
    <row r="302" spans="1:17" x14ac:dyDescent="0.2">
      <c r="A302" t="s">
        <v>288</v>
      </c>
      <c r="B302" s="1">
        <v>0</v>
      </c>
      <c r="C302" t="s">
        <v>16</v>
      </c>
      <c r="D302">
        <v>0</v>
      </c>
      <c r="E302">
        <v>0</v>
      </c>
      <c r="F302" t="s">
        <v>17</v>
      </c>
      <c r="G302" t="s">
        <v>36</v>
      </c>
      <c r="H302" t="s">
        <v>38</v>
      </c>
      <c r="I302">
        <v>120233828</v>
      </c>
      <c r="J302" t="s">
        <v>38</v>
      </c>
      <c r="K302">
        <v>7181576.6919999998</v>
      </c>
      <c r="L302" t="s">
        <v>228</v>
      </c>
      <c r="M302" t="str">
        <f t="shared" si="9"/>
        <v>controlwild</v>
      </c>
      <c r="N302" t="s">
        <v>228</v>
      </c>
      <c r="O302" t="s">
        <v>229</v>
      </c>
      <c r="P302" t="s">
        <v>285</v>
      </c>
      <c r="Q302" t="s">
        <v>16</v>
      </c>
    </row>
    <row r="303" spans="1:17" x14ac:dyDescent="0.2">
      <c r="A303" t="s">
        <v>289</v>
      </c>
      <c r="B303" s="1">
        <v>0</v>
      </c>
      <c r="C303" t="s">
        <v>16</v>
      </c>
      <c r="D303">
        <v>0</v>
      </c>
      <c r="E303">
        <v>0</v>
      </c>
      <c r="F303" t="s">
        <v>19</v>
      </c>
      <c r="G303" t="s">
        <v>36</v>
      </c>
      <c r="H303" t="s">
        <v>37</v>
      </c>
      <c r="I303">
        <v>16351.011829999999</v>
      </c>
      <c r="J303" t="s">
        <v>37</v>
      </c>
      <c r="K303">
        <v>0</v>
      </c>
      <c r="L303" t="s">
        <v>228</v>
      </c>
      <c r="M303" t="str">
        <f t="shared" si="9"/>
        <v>controlwild</v>
      </c>
      <c r="N303" t="s">
        <v>228</v>
      </c>
      <c r="O303" t="s">
        <v>229</v>
      </c>
      <c r="P303" t="s">
        <v>285</v>
      </c>
      <c r="Q303" t="s">
        <v>16</v>
      </c>
    </row>
    <row r="304" spans="1:17" x14ac:dyDescent="0.2">
      <c r="A304" t="s">
        <v>999</v>
      </c>
      <c r="B304">
        <v>4.6575051999999999E-2</v>
      </c>
      <c r="C304">
        <v>21706368.879999999</v>
      </c>
      <c r="D304">
        <v>1302382.1329999999</v>
      </c>
      <c r="E304">
        <v>260476426.59999999</v>
      </c>
      <c r="F304" t="s">
        <v>33</v>
      </c>
      <c r="G304" t="s">
        <v>41</v>
      </c>
      <c r="H304" t="s">
        <v>16</v>
      </c>
      <c r="I304" t="s">
        <v>16</v>
      </c>
      <c r="J304" t="s">
        <v>16</v>
      </c>
      <c r="K304" t="s">
        <v>16</v>
      </c>
      <c r="L304" t="s">
        <v>228</v>
      </c>
      <c r="M304" t="str">
        <f t="shared" si="9"/>
        <v>challengedwild</v>
      </c>
      <c r="N304" t="s">
        <v>228</v>
      </c>
      <c r="O304" t="s">
        <v>229</v>
      </c>
      <c r="P304" t="s">
        <v>285</v>
      </c>
      <c r="Q304">
        <v>1302300.378</v>
      </c>
    </row>
    <row r="305" spans="1:17" x14ac:dyDescent="0.2">
      <c r="A305" t="s">
        <v>290</v>
      </c>
      <c r="B305">
        <v>0.125760607</v>
      </c>
      <c r="C305">
        <v>10019485.66</v>
      </c>
      <c r="D305">
        <v>601169.1398</v>
      </c>
      <c r="E305">
        <v>120233828</v>
      </c>
      <c r="F305" t="s">
        <v>17</v>
      </c>
      <c r="G305" t="s">
        <v>41</v>
      </c>
      <c r="H305" t="s">
        <v>16</v>
      </c>
      <c r="I305" t="s">
        <v>16</v>
      </c>
      <c r="J305" t="s">
        <v>16</v>
      </c>
      <c r="K305" t="s">
        <v>16</v>
      </c>
      <c r="L305" t="s">
        <v>228</v>
      </c>
      <c r="M305" t="str">
        <f t="shared" si="9"/>
        <v>challengedwild</v>
      </c>
      <c r="N305" t="s">
        <v>228</v>
      </c>
      <c r="O305" t="s">
        <v>229</v>
      </c>
      <c r="P305" t="s">
        <v>285</v>
      </c>
      <c r="Q305">
        <v>601169.1398</v>
      </c>
    </row>
    <row r="306" spans="1:17" x14ac:dyDescent="0.2">
      <c r="A306" t="s">
        <v>291</v>
      </c>
      <c r="B306">
        <v>0.129057536</v>
      </c>
      <c r="C306">
        <v>882.9546388</v>
      </c>
      <c r="D306">
        <v>81.755059149999994</v>
      </c>
      <c r="E306">
        <v>16351.011829999999</v>
      </c>
      <c r="F306" t="s">
        <v>19</v>
      </c>
      <c r="G306" t="s">
        <v>41</v>
      </c>
      <c r="H306" t="s">
        <v>16</v>
      </c>
      <c r="I306" t="s">
        <v>16</v>
      </c>
      <c r="J306" t="s">
        <v>16</v>
      </c>
      <c r="K306" t="s">
        <v>16</v>
      </c>
      <c r="L306" t="s">
        <v>228</v>
      </c>
      <c r="M306" t="str">
        <f t="shared" si="9"/>
        <v>challengedwild</v>
      </c>
      <c r="N306" t="s">
        <v>228</v>
      </c>
      <c r="O306" t="s">
        <v>229</v>
      </c>
      <c r="P306" t="s">
        <v>285</v>
      </c>
      <c r="Q306">
        <v>81.755059149999994</v>
      </c>
    </row>
    <row r="307" spans="1:17" x14ac:dyDescent="0.2">
      <c r="A307" t="s">
        <v>292</v>
      </c>
      <c r="B307" t="s">
        <v>16</v>
      </c>
      <c r="C307" t="s">
        <v>16</v>
      </c>
      <c r="D307" t="s">
        <v>16</v>
      </c>
      <c r="E307" t="s">
        <v>16</v>
      </c>
      <c r="F307" t="s">
        <v>26</v>
      </c>
      <c r="G307" t="s">
        <v>26</v>
      </c>
      <c r="H307" t="s">
        <v>16</v>
      </c>
      <c r="I307" t="s">
        <v>16</v>
      </c>
      <c r="J307" t="s">
        <v>16</v>
      </c>
      <c r="K307" t="s">
        <v>16</v>
      </c>
      <c r="L307" t="s">
        <v>228</v>
      </c>
      <c r="M307" t="str">
        <f t="shared" si="9"/>
        <v>fecalwild</v>
      </c>
      <c r="N307" t="s">
        <v>228</v>
      </c>
      <c r="O307" t="s">
        <v>229</v>
      </c>
      <c r="P307" t="s">
        <v>293</v>
      </c>
      <c r="Q307" t="s">
        <v>16</v>
      </c>
    </row>
    <row r="308" spans="1:17" x14ac:dyDescent="0.2">
      <c r="A308" t="s">
        <v>1000</v>
      </c>
      <c r="B308">
        <v>0.10187117900000001</v>
      </c>
      <c r="C308">
        <v>51097346.670000002</v>
      </c>
      <c r="D308">
        <v>102194.6933</v>
      </c>
      <c r="E308">
        <v>20438938.670000002</v>
      </c>
      <c r="F308" t="s">
        <v>33</v>
      </c>
      <c r="G308" t="s">
        <v>32</v>
      </c>
      <c r="H308" t="s">
        <v>16</v>
      </c>
      <c r="I308" t="s">
        <v>16</v>
      </c>
      <c r="J308" t="s">
        <v>16</v>
      </c>
      <c r="K308" t="s">
        <v>16</v>
      </c>
      <c r="L308" t="s">
        <v>228</v>
      </c>
      <c r="M308" t="str">
        <f t="shared" si="9"/>
        <v>abx_challengedwild</v>
      </c>
      <c r="N308" t="s">
        <v>228</v>
      </c>
      <c r="O308" t="s">
        <v>229</v>
      </c>
      <c r="P308" t="s">
        <v>293</v>
      </c>
      <c r="Q308">
        <v>102173.9097</v>
      </c>
    </row>
    <row r="309" spans="1:17" x14ac:dyDescent="0.2">
      <c r="A309" t="s">
        <v>294</v>
      </c>
      <c r="B309">
        <v>0.203712587</v>
      </c>
      <c r="C309">
        <v>10403200.93</v>
      </c>
      <c r="D309">
        <v>62419.205600000001</v>
      </c>
      <c r="E309">
        <v>12483841.119999999</v>
      </c>
      <c r="F309" t="s">
        <v>17</v>
      </c>
      <c r="G309" t="s">
        <v>32</v>
      </c>
      <c r="H309" t="s">
        <v>16</v>
      </c>
      <c r="I309" t="s">
        <v>16</v>
      </c>
      <c r="J309" t="s">
        <v>16</v>
      </c>
      <c r="K309" t="s">
        <v>16</v>
      </c>
      <c r="L309" t="s">
        <v>228</v>
      </c>
      <c r="M309" t="str">
        <f t="shared" si="9"/>
        <v>abx_challengedwild</v>
      </c>
      <c r="N309" t="s">
        <v>228</v>
      </c>
      <c r="O309" t="s">
        <v>229</v>
      </c>
      <c r="P309" t="s">
        <v>293</v>
      </c>
      <c r="Q309">
        <v>62419.205600000001</v>
      </c>
    </row>
    <row r="310" spans="1:17" x14ac:dyDescent="0.2">
      <c r="A310" t="s">
        <v>295</v>
      </c>
      <c r="B310">
        <v>0.163924138</v>
      </c>
      <c r="C310">
        <v>149.64192660000001</v>
      </c>
      <c r="D310">
        <v>20.783600910000001</v>
      </c>
      <c r="E310">
        <v>4156.720182</v>
      </c>
      <c r="F310" t="s">
        <v>19</v>
      </c>
      <c r="G310" t="s">
        <v>32</v>
      </c>
      <c r="H310" t="s">
        <v>16</v>
      </c>
      <c r="I310" t="s">
        <v>16</v>
      </c>
      <c r="J310" t="s">
        <v>16</v>
      </c>
      <c r="K310" t="s">
        <v>16</v>
      </c>
      <c r="L310" t="s">
        <v>228</v>
      </c>
      <c r="M310" t="str">
        <f t="shared" si="9"/>
        <v>abx_challengedwild</v>
      </c>
      <c r="N310" t="s">
        <v>228</v>
      </c>
      <c r="O310" t="s">
        <v>229</v>
      </c>
      <c r="P310" t="s">
        <v>293</v>
      </c>
      <c r="Q310">
        <v>20.783600910000001</v>
      </c>
    </row>
    <row r="311" spans="1:17" x14ac:dyDescent="0.2">
      <c r="A311" t="s">
        <v>1001</v>
      </c>
      <c r="B311" s="1">
        <v>0</v>
      </c>
      <c r="C311">
        <v>917950024.79999995</v>
      </c>
      <c r="D311">
        <v>5507700.1490000002</v>
      </c>
      <c r="E311">
        <v>1101540030</v>
      </c>
      <c r="F311" t="s">
        <v>33</v>
      </c>
      <c r="G311" t="s">
        <v>36</v>
      </c>
      <c r="H311" t="s">
        <v>38</v>
      </c>
      <c r="I311">
        <v>225593658.40000001</v>
      </c>
      <c r="J311" t="s">
        <v>38</v>
      </c>
      <c r="K311">
        <v>20438938.670000002</v>
      </c>
      <c r="L311" t="s">
        <v>228</v>
      </c>
      <c r="M311" t="str">
        <f t="shared" si="9"/>
        <v>controlwild</v>
      </c>
      <c r="N311" t="s">
        <v>228</v>
      </c>
      <c r="O311" t="s">
        <v>229</v>
      </c>
      <c r="P311" t="s">
        <v>293</v>
      </c>
      <c r="Q311" t="s">
        <v>16</v>
      </c>
    </row>
    <row r="312" spans="1:17" x14ac:dyDescent="0.2">
      <c r="A312" t="s">
        <v>296</v>
      </c>
      <c r="B312" s="1">
        <v>0</v>
      </c>
      <c r="C312" t="s">
        <v>16</v>
      </c>
      <c r="D312" t="s">
        <v>16</v>
      </c>
      <c r="E312" t="s">
        <v>16</v>
      </c>
      <c r="F312" t="s">
        <v>16</v>
      </c>
      <c r="G312" t="s">
        <v>16</v>
      </c>
      <c r="H312" t="s">
        <v>16</v>
      </c>
      <c r="I312" t="s">
        <v>16</v>
      </c>
      <c r="J312" t="s">
        <v>16</v>
      </c>
      <c r="K312" t="s">
        <v>16</v>
      </c>
      <c r="L312" t="s">
        <v>16</v>
      </c>
      <c r="M312" t="s">
        <v>16</v>
      </c>
      <c r="N312" t="s">
        <v>16</v>
      </c>
      <c r="O312" t="s">
        <v>16</v>
      </c>
      <c r="P312" t="s">
        <v>16</v>
      </c>
      <c r="Q312" t="s">
        <v>16</v>
      </c>
    </row>
    <row r="313" spans="1:17" x14ac:dyDescent="0.2">
      <c r="A313" t="s">
        <v>297</v>
      </c>
      <c r="B313" s="1">
        <v>0</v>
      </c>
      <c r="C313" t="s">
        <v>16</v>
      </c>
      <c r="D313">
        <v>0</v>
      </c>
      <c r="E313">
        <v>0</v>
      </c>
      <c r="F313" t="s">
        <v>17</v>
      </c>
      <c r="G313" t="s">
        <v>36</v>
      </c>
      <c r="H313" t="s">
        <v>38</v>
      </c>
      <c r="I313">
        <v>468383813.60000002</v>
      </c>
      <c r="J313" t="s">
        <v>38</v>
      </c>
      <c r="K313">
        <v>12483841.119999999</v>
      </c>
      <c r="L313" t="s">
        <v>228</v>
      </c>
      <c r="M313" t="str">
        <f t="shared" si="9"/>
        <v>controlwild</v>
      </c>
      <c r="N313" t="s">
        <v>228</v>
      </c>
      <c r="O313" t="s">
        <v>229</v>
      </c>
      <c r="P313" t="s">
        <v>293</v>
      </c>
      <c r="Q313" t="s">
        <v>16</v>
      </c>
    </row>
    <row r="314" spans="1:17" x14ac:dyDescent="0.2">
      <c r="A314" t="s">
        <v>298</v>
      </c>
      <c r="B314">
        <v>0</v>
      </c>
      <c r="C314" t="s">
        <v>16</v>
      </c>
      <c r="D314">
        <v>0</v>
      </c>
      <c r="E314">
        <v>0</v>
      </c>
      <c r="F314" t="s">
        <v>19</v>
      </c>
      <c r="G314" t="s">
        <v>36</v>
      </c>
      <c r="H314" t="s">
        <v>37</v>
      </c>
      <c r="I314">
        <v>5472.3051519999999</v>
      </c>
      <c r="J314" t="s">
        <v>37</v>
      </c>
      <c r="K314">
        <v>4156.720182</v>
      </c>
      <c r="L314" t="s">
        <v>228</v>
      </c>
      <c r="M314" t="str">
        <f t="shared" si="9"/>
        <v>controlwild</v>
      </c>
      <c r="N314" t="s">
        <v>228</v>
      </c>
      <c r="O314" t="s">
        <v>229</v>
      </c>
      <c r="P314" t="s">
        <v>293</v>
      </c>
      <c r="Q314" t="s">
        <v>16</v>
      </c>
    </row>
    <row r="315" spans="1:17" x14ac:dyDescent="0.2">
      <c r="A315" t="s">
        <v>1002</v>
      </c>
      <c r="B315">
        <v>0.14117189199999999</v>
      </c>
      <c r="C315">
        <v>18799471.530000001</v>
      </c>
      <c r="D315">
        <v>1127968.2919999999</v>
      </c>
      <c r="E315">
        <v>225593658.40000001</v>
      </c>
      <c r="F315" t="s">
        <v>33</v>
      </c>
      <c r="G315" t="s">
        <v>41</v>
      </c>
      <c r="H315" t="s">
        <v>16</v>
      </c>
      <c r="I315" t="s">
        <v>16</v>
      </c>
      <c r="J315" t="s">
        <v>16</v>
      </c>
      <c r="K315" t="s">
        <v>16</v>
      </c>
      <c r="L315" t="s">
        <v>228</v>
      </c>
      <c r="M315" t="str">
        <f t="shared" si="9"/>
        <v>challengedwild</v>
      </c>
      <c r="N315" t="s">
        <v>228</v>
      </c>
      <c r="O315" t="s">
        <v>229</v>
      </c>
      <c r="P315" t="s">
        <v>293</v>
      </c>
      <c r="Q315">
        <v>-875946371.39999998</v>
      </c>
    </row>
    <row r="316" spans="1:17" x14ac:dyDescent="0.2">
      <c r="A316" t="s">
        <v>299</v>
      </c>
      <c r="B316" t="s">
        <v>16</v>
      </c>
      <c r="C316" t="s">
        <v>16</v>
      </c>
      <c r="D316" t="s">
        <v>16</v>
      </c>
      <c r="E316" t="s">
        <v>16</v>
      </c>
      <c r="F316" t="s">
        <v>16</v>
      </c>
      <c r="G316" t="s">
        <v>16</v>
      </c>
      <c r="H316" t="s">
        <v>16</v>
      </c>
      <c r="I316" t="s">
        <v>16</v>
      </c>
      <c r="J316" t="s">
        <v>16</v>
      </c>
      <c r="K316" t="s">
        <v>16</v>
      </c>
      <c r="L316" t="s">
        <v>16</v>
      </c>
      <c r="M316" t="s">
        <v>16</v>
      </c>
      <c r="N316" t="s">
        <v>16</v>
      </c>
      <c r="O316" t="s">
        <v>16</v>
      </c>
      <c r="P316" t="s">
        <v>16</v>
      </c>
      <c r="Q316" t="s">
        <v>16</v>
      </c>
    </row>
    <row r="317" spans="1:17" x14ac:dyDescent="0.2">
      <c r="A317" t="s">
        <v>300</v>
      </c>
      <c r="B317">
        <v>0.206673997</v>
      </c>
      <c r="C317">
        <v>39031984.469999999</v>
      </c>
      <c r="D317">
        <v>2341919.068</v>
      </c>
      <c r="E317">
        <v>468383813.60000002</v>
      </c>
      <c r="F317" t="s">
        <v>17</v>
      </c>
      <c r="G317" t="s">
        <v>41</v>
      </c>
      <c r="H317" t="s">
        <v>16</v>
      </c>
      <c r="I317" t="s">
        <v>16</v>
      </c>
      <c r="J317" t="s">
        <v>16</v>
      </c>
      <c r="K317" t="s">
        <v>16</v>
      </c>
      <c r="L317" t="s">
        <v>228</v>
      </c>
      <c r="M317" t="str">
        <f t="shared" si="9"/>
        <v>challengedwild</v>
      </c>
      <c r="N317" t="s">
        <v>228</v>
      </c>
      <c r="O317" t="s">
        <v>229</v>
      </c>
      <c r="P317" t="s">
        <v>293</v>
      </c>
      <c r="Q317">
        <v>2341919.068</v>
      </c>
    </row>
    <row r="318" spans="1:17" x14ac:dyDescent="0.2">
      <c r="A318" t="s">
        <v>301</v>
      </c>
      <c r="B318" t="s">
        <v>16</v>
      </c>
      <c r="C318">
        <v>197.00298549999999</v>
      </c>
      <c r="D318">
        <v>27.361525759999999</v>
      </c>
      <c r="E318">
        <v>5472.3051519999999</v>
      </c>
      <c r="F318" t="s">
        <v>19</v>
      </c>
      <c r="G318" t="s">
        <v>41</v>
      </c>
      <c r="H318" t="s">
        <v>16</v>
      </c>
      <c r="I318" t="s">
        <v>16</v>
      </c>
      <c r="J318" t="s">
        <v>16</v>
      </c>
      <c r="K318" t="s">
        <v>16</v>
      </c>
      <c r="L318" t="s">
        <v>228</v>
      </c>
      <c r="M318" t="str">
        <f t="shared" si="9"/>
        <v>challengedwild</v>
      </c>
      <c r="N318" t="s">
        <v>228</v>
      </c>
      <c r="O318" t="s">
        <v>229</v>
      </c>
      <c r="P318" t="s">
        <v>293</v>
      </c>
      <c r="Q318">
        <v>27.361525759999999</v>
      </c>
    </row>
    <row r="319" spans="1:17" x14ac:dyDescent="0.2">
      <c r="A319" t="s">
        <v>302</v>
      </c>
      <c r="B319" t="s">
        <v>16</v>
      </c>
      <c r="C319" t="s">
        <v>16</v>
      </c>
      <c r="D319" t="s">
        <v>16</v>
      </c>
      <c r="E319" t="s">
        <v>16</v>
      </c>
      <c r="F319" t="s">
        <v>26</v>
      </c>
      <c r="G319" t="s">
        <v>26</v>
      </c>
      <c r="H319" t="s">
        <v>16</v>
      </c>
      <c r="I319" t="s">
        <v>16</v>
      </c>
      <c r="J319" t="s">
        <v>16</v>
      </c>
      <c r="K319" t="s">
        <v>16</v>
      </c>
      <c r="L319" t="s">
        <v>228</v>
      </c>
      <c r="M319" t="str">
        <f t="shared" si="9"/>
        <v>fecalwild</v>
      </c>
      <c r="N319" t="s">
        <v>228</v>
      </c>
      <c r="O319" t="s">
        <v>229</v>
      </c>
      <c r="P319" t="s">
        <v>303</v>
      </c>
      <c r="Q319" t="s">
        <v>16</v>
      </c>
    </row>
    <row r="320" spans="1:17" x14ac:dyDescent="0.2">
      <c r="A320" t="s">
        <v>304</v>
      </c>
      <c r="B320">
        <v>0.10439957800000001</v>
      </c>
      <c r="C320">
        <v>60.469673785784572</v>
      </c>
      <c r="D320">
        <v>5.5990438690541273</v>
      </c>
      <c r="E320">
        <f>D320*200</f>
        <v>1119.8087738108254</v>
      </c>
      <c r="F320" t="s">
        <v>19</v>
      </c>
      <c r="G320" t="s">
        <v>32</v>
      </c>
      <c r="H320" t="s">
        <v>16</v>
      </c>
      <c r="I320" t="s">
        <v>16</v>
      </c>
      <c r="J320" t="s">
        <v>16</v>
      </c>
      <c r="K320" t="s">
        <v>16</v>
      </c>
      <c r="L320" t="s">
        <v>228</v>
      </c>
      <c r="M320" t="str">
        <f t="shared" si="9"/>
        <v>abx_challengedwild</v>
      </c>
      <c r="N320" t="s">
        <v>228</v>
      </c>
      <c r="O320" t="s">
        <v>229</v>
      </c>
      <c r="P320" t="s">
        <v>303</v>
      </c>
      <c r="Q320">
        <f>E320</f>
        <v>1119.8087738108254</v>
      </c>
    </row>
    <row r="321" spans="1:17" x14ac:dyDescent="0.2">
      <c r="A321" t="s">
        <v>305</v>
      </c>
      <c r="B321">
        <v>0</v>
      </c>
      <c r="C321" t="s">
        <v>16</v>
      </c>
      <c r="D321">
        <v>0</v>
      </c>
      <c r="E321">
        <v>0</v>
      </c>
      <c r="F321" t="s">
        <v>19</v>
      </c>
      <c r="G321" t="s">
        <v>36</v>
      </c>
      <c r="H321" t="s">
        <v>37</v>
      </c>
      <c r="I321">
        <v>0</v>
      </c>
      <c r="J321" t="s">
        <v>37</v>
      </c>
      <c r="K321">
        <v>1119.8087740000001</v>
      </c>
      <c r="L321" t="s">
        <v>228</v>
      </c>
      <c r="M321" t="str">
        <f t="shared" si="9"/>
        <v>controlwild</v>
      </c>
      <c r="N321" t="s">
        <v>228</v>
      </c>
      <c r="O321" t="s">
        <v>229</v>
      </c>
      <c r="P321" t="s">
        <v>303</v>
      </c>
      <c r="Q321" t="s">
        <v>16</v>
      </c>
    </row>
    <row r="322" spans="1:17" x14ac:dyDescent="0.2">
      <c r="A322" t="s">
        <v>306</v>
      </c>
      <c r="B322">
        <v>9.8231291999999998E-2</v>
      </c>
      <c r="C322" t="s">
        <v>16</v>
      </c>
      <c r="D322">
        <v>0</v>
      </c>
      <c r="E322">
        <v>0</v>
      </c>
      <c r="F322" t="s">
        <v>19</v>
      </c>
      <c r="G322" t="s">
        <v>41</v>
      </c>
      <c r="H322" t="s">
        <v>16</v>
      </c>
      <c r="I322" t="s">
        <v>16</v>
      </c>
      <c r="J322" t="s">
        <v>16</v>
      </c>
      <c r="K322" t="s">
        <v>16</v>
      </c>
      <c r="L322" t="s">
        <v>228</v>
      </c>
      <c r="M322" t="str">
        <f t="shared" si="9"/>
        <v>challengedwild</v>
      </c>
      <c r="N322" t="s">
        <v>228</v>
      </c>
      <c r="O322" t="s">
        <v>229</v>
      </c>
      <c r="P322" t="s">
        <v>303</v>
      </c>
      <c r="Q322">
        <v>0</v>
      </c>
    </row>
    <row r="323" spans="1:17" x14ac:dyDescent="0.2">
      <c r="A323" t="s">
        <v>307</v>
      </c>
      <c r="B323">
        <v>5.7858492999999997E-2</v>
      </c>
      <c r="C323">
        <v>3.9280583689891202</v>
      </c>
      <c r="D323">
        <v>0.3637091082397334</v>
      </c>
      <c r="E323">
        <f>D323*200</f>
        <v>72.741821647946679</v>
      </c>
      <c r="F323" t="s">
        <v>19</v>
      </c>
      <c r="G323" t="s">
        <v>32</v>
      </c>
      <c r="H323" t="s">
        <v>16</v>
      </c>
      <c r="I323" t="s">
        <v>16</v>
      </c>
      <c r="J323" t="s">
        <v>16</v>
      </c>
      <c r="K323" t="s">
        <v>16</v>
      </c>
      <c r="L323" t="s">
        <v>228</v>
      </c>
      <c r="M323" t="str">
        <f t="shared" si="9"/>
        <v>abx_challengedwild</v>
      </c>
      <c r="N323" t="s">
        <v>228</v>
      </c>
      <c r="O323" t="s">
        <v>229</v>
      </c>
      <c r="P323" t="s">
        <v>308</v>
      </c>
      <c r="Q323">
        <f>E323</f>
        <v>72.741821647946679</v>
      </c>
    </row>
    <row r="324" spans="1:17" x14ac:dyDescent="0.2">
      <c r="A324" t="s">
        <v>309</v>
      </c>
      <c r="B324" t="s">
        <v>16</v>
      </c>
      <c r="C324" t="s">
        <v>16</v>
      </c>
      <c r="D324">
        <v>0</v>
      </c>
      <c r="E324">
        <v>0</v>
      </c>
      <c r="F324" t="s">
        <v>19</v>
      </c>
      <c r="G324" t="s">
        <v>36</v>
      </c>
      <c r="H324" t="s">
        <v>37</v>
      </c>
      <c r="I324">
        <v>0</v>
      </c>
      <c r="J324" t="s">
        <v>37</v>
      </c>
      <c r="K324">
        <v>72.741821650000006</v>
      </c>
      <c r="L324" t="s">
        <v>228</v>
      </c>
      <c r="M324" t="str">
        <f t="shared" si="9"/>
        <v>controlwild</v>
      </c>
      <c r="N324" t="s">
        <v>228</v>
      </c>
      <c r="O324" t="s">
        <v>229</v>
      </c>
      <c r="P324" t="s">
        <v>308</v>
      </c>
      <c r="Q324" t="s">
        <v>16</v>
      </c>
    </row>
    <row r="325" spans="1:17" x14ac:dyDescent="0.2">
      <c r="A325" t="s">
        <v>310</v>
      </c>
      <c r="B325">
        <v>0</v>
      </c>
      <c r="C325" t="s">
        <v>16</v>
      </c>
      <c r="D325">
        <v>0</v>
      </c>
      <c r="E325">
        <v>0</v>
      </c>
      <c r="F325" t="s">
        <v>19</v>
      </c>
      <c r="G325" t="s">
        <v>41</v>
      </c>
      <c r="H325" t="s">
        <v>16</v>
      </c>
      <c r="I325" t="s">
        <v>16</v>
      </c>
      <c r="J325" t="s">
        <v>16</v>
      </c>
      <c r="K325" t="s">
        <v>16</v>
      </c>
      <c r="L325" t="s">
        <v>228</v>
      </c>
      <c r="M325" t="str">
        <f t="shared" si="9"/>
        <v>challengedwild</v>
      </c>
      <c r="N325" t="s">
        <v>228</v>
      </c>
      <c r="O325" t="s">
        <v>229</v>
      </c>
      <c r="P325" t="s">
        <v>308</v>
      </c>
      <c r="Q325">
        <v>0</v>
      </c>
    </row>
    <row r="326" spans="1:17" x14ac:dyDescent="0.2">
      <c r="A326" t="s">
        <v>311</v>
      </c>
      <c r="B326" t="s">
        <v>16</v>
      </c>
      <c r="C326" t="s">
        <v>16</v>
      </c>
      <c r="D326" t="s">
        <v>16</v>
      </c>
      <c r="E326" t="s">
        <v>16</v>
      </c>
      <c r="F326" t="s">
        <v>26</v>
      </c>
      <c r="G326" t="s">
        <v>26</v>
      </c>
      <c r="H326" t="s">
        <v>16</v>
      </c>
      <c r="I326" t="s">
        <v>16</v>
      </c>
      <c r="J326" t="s">
        <v>16</v>
      </c>
      <c r="K326" t="s">
        <v>16</v>
      </c>
      <c r="L326" t="s">
        <v>228</v>
      </c>
      <c r="M326" t="str">
        <f t="shared" si="9"/>
        <v>fecalwild</v>
      </c>
      <c r="N326" t="s">
        <v>228</v>
      </c>
      <c r="O326" t="s">
        <v>229</v>
      </c>
      <c r="P326" t="s">
        <v>312</v>
      </c>
      <c r="Q326" t="s">
        <v>16</v>
      </c>
    </row>
    <row r="327" spans="1:17" x14ac:dyDescent="0.2">
      <c r="A327" t="s">
        <v>313</v>
      </c>
      <c r="B327">
        <v>0.11257484800000001</v>
      </c>
      <c r="C327">
        <v>103.1479231</v>
      </c>
      <c r="D327">
        <v>9.5507336209999991</v>
      </c>
      <c r="E327">
        <f>D327*200</f>
        <v>1910.1467241999999</v>
      </c>
      <c r="F327" t="s">
        <v>19</v>
      </c>
      <c r="G327" t="s">
        <v>32</v>
      </c>
      <c r="H327" t="s">
        <v>16</v>
      </c>
      <c r="I327" t="s">
        <v>16</v>
      </c>
      <c r="J327" t="s">
        <v>16</v>
      </c>
      <c r="K327" t="s">
        <v>16</v>
      </c>
      <c r="L327" t="s">
        <v>228</v>
      </c>
      <c r="M327" t="str">
        <f t="shared" si="9"/>
        <v>abx_challengedwild</v>
      </c>
      <c r="N327" t="s">
        <v>228</v>
      </c>
      <c r="O327" t="s">
        <v>229</v>
      </c>
      <c r="P327" t="s">
        <v>312</v>
      </c>
      <c r="Q327">
        <f>E327</f>
        <v>1910.1467241999999</v>
      </c>
    </row>
    <row r="328" spans="1:17" x14ac:dyDescent="0.2">
      <c r="A328" t="s">
        <v>314</v>
      </c>
      <c r="B328">
        <v>0</v>
      </c>
      <c r="C328" t="s">
        <v>16</v>
      </c>
      <c r="D328">
        <v>0</v>
      </c>
      <c r="E328">
        <f t="shared" ref="E328:E329" si="11">D328*200</f>
        <v>0</v>
      </c>
      <c r="F328" t="s">
        <v>19</v>
      </c>
      <c r="G328" t="s">
        <v>36</v>
      </c>
      <c r="H328" t="s">
        <v>37</v>
      </c>
      <c r="I328">
        <v>2162.9991180000002</v>
      </c>
      <c r="J328" t="s">
        <v>37</v>
      </c>
      <c r="K328">
        <v>1910.1467239999999</v>
      </c>
      <c r="L328" t="s">
        <v>228</v>
      </c>
      <c r="M328" t="str">
        <f t="shared" si="9"/>
        <v>controlwild</v>
      </c>
      <c r="N328" t="s">
        <v>228</v>
      </c>
      <c r="O328" t="s">
        <v>229</v>
      </c>
      <c r="P328" t="s">
        <v>312</v>
      </c>
      <c r="Q328" t="s">
        <v>16</v>
      </c>
    </row>
    <row r="329" spans="1:17" x14ac:dyDescent="0.2">
      <c r="A329" t="s">
        <v>315</v>
      </c>
      <c r="B329">
        <v>9.9489753E-2</v>
      </c>
      <c r="C329">
        <v>116.8019523</v>
      </c>
      <c r="D329">
        <v>10.814995590000001</v>
      </c>
      <c r="E329">
        <f t="shared" si="11"/>
        <v>2162.9991180000002</v>
      </c>
      <c r="F329" t="s">
        <v>19</v>
      </c>
      <c r="G329" t="s">
        <v>41</v>
      </c>
      <c r="H329" t="s">
        <v>16</v>
      </c>
      <c r="I329" t="s">
        <v>16</v>
      </c>
      <c r="J329" t="s">
        <v>16</v>
      </c>
      <c r="K329" t="s">
        <v>16</v>
      </c>
      <c r="L329" t="s">
        <v>228</v>
      </c>
      <c r="M329" t="str">
        <f t="shared" si="9"/>
        <v>challengedwild</v>
      </c>
      <c r="N329" t="s">
        <v>228</v>
      </c>
      <c r="O329" t="s">
        <v>229</v>
      </c>
      <c r="P329" t="s">
        <v>312</v>
      </c>
      <c r="Q329">
        <f>E329</f>
        <v>2162.9991180000002</v>
      </c>
    </row>
    <row r="330" spans="1:17" x14ac:dyDescent="0.2">
      <c r="A330" t="s">
        <v>316</v>
      </c>
      <c r="B330" t="s">
        <v>16</v>
      </c>
      <c r="C330" t="s">
        <v>16</v>
      </c>
      <c r="D330" t="s">
        <v>16</v>
      </c>
      <c r="E330" t="s">
        <v>16</v>
      </c>
      <c r="F330" t="s">
        <v>26</v>
      </c>
      <c r="G330" t="s">
        <v>26</v>
      </c>
      <c r="H330" t="s">
        <v>16</v>
      </c>
      <c r="I330" t="s">
        <v>16</v>
      </c>
      <c r="J330" t="s">
        <v>16</v>
      </c>
      <c r="K330" t="s">
        <v>16</v>
      </c>
      <c r="L330" t="s">
        <v>228</v>
      </c>
      <c r="M330" t="str">
        <f t="shared" ref="M330:M393" si="12">CONCATENATE(G330, L330)</f>
        <v>fecalwild</v>
      </c>
      <c r="N330" t="s">
        <v>228</v>
      </c>
      <c r="O330" t="s">
        <v>229</v>
      </c>
      <c r="P330" t="s">
        <v>317</v>
      </c>
      <c r="Q330" t="s">
        <v>16</v>
      </c>
    </row>
    <row r="331" spans="1:17" x14ac:dyDescent="0.2">
      <c r="A331" t="s">
        <v>318</v>
      </c>
      <c r="B331">
        <v>0.15819867500000001</v>
      </c>
      <c r="C331" t="s">
        <v>16</v>
      </c>
      <c r="D331">
        <v>0</v>
      </c>
      <c r="E331">
        <v>0</v>
      </c>
      <c r="F331" t="s">
        <v>19</v>
      </c>
      <c r="G331" t="s">
        <v>32</v>
      </c>
      <c r="H331" t="s">
        <v>16</v>
      </c>
      <c r="I331" t="s">
        <v>16</v>
      </c>
      <c r="J331" t="s">
        <v>16</v>
      </c>
      <c r="K331" t="s">
        <v>16</v>
      </c>
      <c r="L331" t="s">
        <v>228</v>
      </c>
      <c r="M331" t="str">
        <f t="shared" si="12"/>
        <v>abx_challengedwild</v>
      </c>
      <c r="N331" t="s">
        <v>228</v>
      </c>
      <c r="O331" t="s">
        <v>229</v>
      </c>
      <c r="P331" t="s">
        <v>317</v>
      </c>
      <c r="Q331">
        <v>0</v>
      </c>
    </row>
    <row r="332" spans="1:17" x14ac:dyDescent="0.2">
      <c r="A332" t="s">
        <v>1003</v>
      </c>
      <c r="B332">
        <v>0.16298779099999999</v>
      </c>
      <c r="C332">
        <v>344318933.80000001</v>
      </c>
      <c r="D332">
        <v>688637.8676</v>
      </c>
      <c r="E332">
        <v>137727573.5</v>
      </c>
      <c r="F332" t="s">
        <v>33</v>
      </c>
      <c r="G332" t="s">
        <v>32</v>
      </c>
      <c r="H332" t="s">
        <v>16</v>
      </c>
      <c r="I332" t="s">
        <v>16</v>
      </c>
      <c r="J332" t="s">
        <v>16</v>
      </c>
      <c r="K332" t="s">
        <v>16</v>
      </c>
      <c r="L332" t="s">
        <v>228</v>
      </c>
      <c r="M332" t="str">
        <f t="shared" si="12"/>
        <v>abx_challengedwild</v>
      </c>
      <c r="N332" t="s">
        <v>228</v>
      </c>
      <c r="O332" t="s">
        <v>229</v>
      </c>
      <c r="P332" t="s">
        <v>317</v>
      </c>
      <c r="Q332">
        <v>632844.84589999996</v>
      </c>
    </row>
    <row r="333" spans="1:17" x14ac:dyDescent="0.2">
      <c r="A333" t="s">
        <v>319</v>
      </c>
      <c r="B333">
        <v>0.21316136599999999</v>
      </c>
      <c r="C333">
        <v>9298836.943</v>
      </c>
      <c r="D333">
        <v>55793.021659999999</v>
      </c>
      <c r="E333">
        <v>11158604.33</v>
      </c>
      <c r="F333" t="s">
        <v>17</v>
      </c>
      <c r="G333" t="s">
        <v>32</v>
      </c>
      <c r="H333" t="s">
        <v>16</v>
      </c>
      <c r="I333" t="s">
        <v>16</v>
      </c>
      <c r="J333" t="s">
        <v>16</v>
      </c>
      <c r="K333" t="s">
        <v>16</v>
      </c>
      <c r="L333" t="s">
        <v>228</v>
      </c>
      <c r="M333" t="str">
        <f t="shared" si="12"/>
        <v>abx_challengedwild</v>
      </c>
      <c r="N333" t="s">
        <v>228</v>
      </c>
      <c r="O333" t="s">
        <v>229</v>
      </c>
      <c r="P333" t="s">
        <v>317</v>
      </c>
      <c r="Q333">
        <v>55793.021659999999</v>
      </c>
    </row>
    <row r="334" spans="1:17" x14ac:dyDescent="0.2">
      <c r="A334" t="s">
        <v>320</v>
      </c>
      <c r="B334" s="1">
        <v>0</v>
      </c>
      <c r="C334" t="s">
        <v>16</v>
      </c>
      <c r="D334">
        <v>0</v>
      </c>
      <c r="E334">
        <v>0</v>
      </c>
      <c r="F334" t="s">
        <v>19</v>
      </c>
      <c r="G334" t="s">
        <v>36</v>
      </c>
      <c r="H334" t="s">
        <v>37</v>
      </c>
      <c r="I334">
        <v>3393.4984880000002</v>
      </c>
      <c r="J334" t="s">
        <v>37</v>
      </c>
      <c r="K334">
        <v>0</v>
      </c>
      <c r="L334" t="s">
        <v>228</v>
      </c>
      <c r="M334" t="str">
        <f t="shared" si="12"/>
        <v>controlwild</v>
      </c>
      <c r="N334" t="s">
        <v>228</v>
      </c>
      <c r="O334" t="s">
        <v>229</v>
      </c>
      <c r="P334" t="s">
        <v>317</v>
      </c>
      <c r="Q334" t="s">
        <v>16</v>
      </c>
    </row>
    <row r="335" spans="1:17" x14ac:dyDescent="0.2">
      <c r="A335" t="s">
        <v>1004</v>
      </c>
      <c r="B335" s="1">
        <v>0</v>
      </c>
      <c r="C335">
        <v>522168840.19999999</v>
      </c>
      <c r="D335">
        <v>3133013.0410000002</v>
      </c>
      <c r="E335">
        <v>626602608.20000005</v>
      </c>
      <c r="F335" t="s">
        <v>33</v>
      </c>
      <c r="G335" t="s">
        <v>36</v>
      </c>
      <c r="H335" t="s">
        <v>38</v>
      </c>
      <c r="I335">
        <v>137699100.09999999</v>
      </c>
      <c r="J335" t="s">
        <v>38</v>
      </c>
      <c r="K335">
        <v>137727573.5</v>
      </c>
      <c r="L335" t="s">
        <v>228</v>
      </c>
      <c r="M335" t="str">
        <f t="shared" si="12"/>
        <v>controlwild</v>
      </c>
      <c r="N335" t="s">
        <v>228</v>
      </c>
      <c r="O335" t="s">
        <v>229</v>
      </c>
      <c r="P335" t="s">
        <v>317</v>
      </c>
      <c r="Q335" t="s">
        <v>16</v>
      </c>
    </row>
    <row r="336" spans="1:17" x14ac:dyDescent="0.2">
      <c r="A336" t="s">
        <v>321</v>
      </c>
      <c r="B336" s="1">
        <v>0</v>
      </c>
      <c r="C336" t="s">
        <v>16</v>
      </c>
      <c r="D336">
        <v>0</v>
      </c>
      <c r="E336">
        <v>0</v>
      </c>
      <c r="F336" t="s">
        <v>17</v>
      </c>
      <c r="G336" t="s">
        <v>36</v>
      </c>
      <c r="H336" t="s">
        <v>38</v>
      </c>
      <c r="I336">
        <v>135382376.90000001</v>
      </c>
      <c r="J336" t="s">
        <v>38</v>
      </c>
      <c r="K336">
        <v>11158604.33</v>
      </c>
      <c r="L336" t="s">
        <v>228</v>
      </c>
      <c r="M336" t="str">
        <f t="shared" si="12"/>
        <v>controlwild</v>
      </c>
      <c r="N336" t="s">
        <v>228</v>
      </c>
      <c r="O336" t="s">
        <v>229</v>
      </c>
      <c r="P336" t="s">
        <v>317</v>
      </c>
      <c r="Q336" t="s">
        <v>16</v>
      </c>
    </row>
    <row r="337" spans="1:17" x14ac:dyDescent="0.2">
      <c r="A337" t="s">
        <v>322</v>
      </c>
      <c r="B337">
        <v>0.18931208699999999</v>
      </c>
      <c r="C337">
        <v>183.24891830000001</v>
      </c>
      <c r="D337">
        <v>16.967492440000001</v>
      </c>
      <c r="E337">
        <v>3393.4984880000002</v>
      </c>
      <c r="F337" t="s">
        <v>19</v>
      </c>
      <c r="G337" t="s">
        <v>41</v>
      </c>
      <c r="H337" t="s">
        <v>16</v>
      </c>
      <c r="I337" t="s">
        <v>16</v>
      </c>
      <c r="J337" t="s">
        <v>16</v>
      </c>
      <c r="K337" t="s">
        <v>16</v>
      </c>
      <c r="L337" t="s">
        <v>228</v>
      </c>
      <c r="M337" t="str">
        <f t="shared" si="12"/>
        <v>challengedwild</v>
      </c>
      <c r="N337" t="s">
        <v>228</v>
      </c>
      <c r="O337" t="s">
        <v>229</v>
      </c>
      <c r="P337" t="s">
        <v>317</v>
      </c>
      <c r="Q337">
        <v>16.967492440000001</v>
      </c>
    </row>
    <row r="338" spans="1:17" x14ac:dyDescent="0.2">
      <c r="A338" t="s">
        <v>1005</v>
      </c>
      <c r="B338">
        <v>0.13472556699999999</v>
      </c>
      <c r="C338">
        <v>11474925</v>
      </c>
      <c r="D338">
        <v>688495.50029999996</v>
      </c>
      <c r="E338">
        <v>137699100.09999999</v>
      </c>
      <c r="F338" t="s">
        <v>33</v>
      </c>
      <c r="G338" t="s">
        <v>41</v>
      </c>
      <c r="H338" t="s">
        <v>16</v>
      </c>
      <c r="I338" t="s">
        <v>16</v>
      </c>
      <c r="J338" t="s">
        <v>16</v>
      </c>
      <c r="K338" t="s">
        <v>16</v>
      </c>
      <c r="L338" t="s">
        <v>228</v>
      </c>
      <c r="M338" t="str">
        <f t="shared" si="12"/>
        <v>challengedwild</v>
      </c>
      <c r="N338" t="s">
        <v>228</v>
      </c>
      <c r="O338" t="s">
        <v>229</v>
      </c>
      <c r="P338" t="s">
        <v>317</v>
      </c>
      <c r="Q338" t="e">
        <v>#VALUE!</v>
      </c>
    </row>
    <row r="339" spans="1:17" x14ac:dyDescent="0.2">
      <c r="A339" t="s">
        <v>323</v>
      </c>
      <c r="B339">
        <v>8.4148263000000001E-2</v>
      </c>
      <c r="C339">
        <v>11281864.74</v>
      </c>
      <c r="D339">
        <v>676911.88450000004</v>
      </c>
      <c r="E339">
        <v>135382376.90000001</v>
      </c>
      <c r="F339" t="s">
        <v>17</v>
      </c>
      <c r="G339" t="s">
        <v>41</v>
      </c>
      <c r="H339" t="s">
        <v>16</v>
      </c>
      <c r="I339" t="s">
        <v>16</v>
      </c>
      <c r="J339" t="s">
        <v>16</v>
      </c>
      <c r="K339" t="s">
        <v>16</v>
      </c>
      <c r="L339" t="s">
        <v>228</v>
      </c>
      <c r="M339" t="str">
        <f t="shared" si="12"/>
        <v>challengedwild</v>
      </c>
      <c r="N339" t="s">
        <v>228</v>
      </c>
      <c r="O339" t="s">
        <v>229</v>
      </c>
      <c r="P339" t="s">
        <v>317</v>
      </c>
      <c r="Q339">
        <v>676911.88450000004</v>
      </c>
    </row>
    <row r="340" spans="1:17" x14ac:dyDescent="0.2">
      <c r="A340" t="s">
        <v>324</v>
      </c>
      <c r="B340" t="s">
        <v>16</v>
      </c>
      <c r="C340" t="s">
        <v>16</v>
      </c>
      <c r="D340" t="s">
        <v>16</v>
      </c>
      <c r="E340" t="s">
        <v>16</v>
      </c>
      <c r="F340" t="s">
        <v>26</v>
      </c>
      <c r="G340" t="s">
        <v>26</v>
      </c>
      <c r="H340" t="s">
        <v>16</v>
      </c>
      <c r="I340" t="s">
        <v>16</v>
      </c>
      <c r="J340" t="s">
        <v>16</v>
      </c>
      <c r="K340" t="s">
        <v>16</v>
      </c>
      <c r="L340" t="s">
        <v>228</v>
      </c>
      <c r="M340" t="str">
        <f t="shared" si="12"/>
        <v>fecalwild</v>
      </c>
      <c r="N340" t="s">
        <v>228</v>
      </c>
      <c r="O340" t="s">
        <v>229</v>
      </c>
      <c r="P340" t="s">
        <v>325</v>
      </c>
      <c r="Q340" t="s">
        <v>16</v>
      </c>
    </row>
    <row r="341" spans="1:17" x14ac:dyDescent="0.2">
      <c r="A341" t="s">
        <v>326</v>
      </c>
      <c r="B341">
        <v>0.15982582400000001</v>
      </c>
      <c r="C341">
        <v>3.1470663029999999</v>
      </c>
      <c r="D341">
        <v>0</v>
      </c>
      <c r="E341">
        <v>0</v>
      </c>
      <c r="F341" t="s">
        <v>19</v>
      </c>
      <c r="G341" t="s">
        <v>32</v>
      </c>
      <c r="H341" t="s">
        <v>16</v>
      </c>
      <c r="I341" t="s">
        <v>16</v>
      </c>
      <c r="J341" t="s">
        <v>16</v>
      </c>
      <c r="K341" t="s">
        <v>16</v>
      </c>
      <c r="L341" t="s">
        <v>228</v>
      </c>
      <c r="M341" t="str">
        <f t="shared" si="12"/>
        <v>abx_challengedwild</v>
      </c>
      <c r="N341" t="s">
        <v>228</v>
      </c>
      <c r="O341" t="s">
        <v>229</v>
      </c>
      <c r="P341" t="s">
        <v>325</v>
      </c>
      <c r="Q341">
        <v>0</v>
      </c>
    </row>
    <row r="342" spans="1:17" x14ac:dyDescent="0.2">
      <c r="A342" t="s">
        <v>1006</v>
      </c>
      <c r="B342">
        <v>6.4685129999999993E-2</v>
      </c>
      <c r="C342">
        <v>95513462.409999996</v>
      </c>
      <c r="D342">
        <v>191026.92480000001</v>
      </c>
      <c r="E342">
        <v>38205384.969999999</v>
      </c>
      <c r="F342" t="s">
        <v>33</v>
      </c>
      <c r="G342" t="s">
        <v>32</v>
      </c>
      <c r="H342" t="s">
        <v>16</v>
      </c>
      <c r="I342" t="s">
        <v>16</v>
      </c>
      <c r="J342" t="s">
        <v>16</v>
      </c>
      <c r="K342" t="s">
        <v>16</v>
      </c>
      <c r="L342" t="s">
        <v>228</v>
      </c>
      <c r="M342" t="str">
        <f t="shared" si="12"/>
        <v>abx_challengedwild</v>
      </c>
      <c r="N342" t="s">
        <v>228</v>
      </c>
      <c r="O342" t="s">
        <v>229</v>
      </c>
      <c r="P342" t="s">
        <v>325</v>
      </c>
      <c r="Q342">
        <v>191026.92480000001</v>
      </c>
    </row>
    <row r="343" spans="1:17" x14ac:dyDescent="0.2">
      <c r="A343" t="s">
        <v>327</v>
      </c>
      <c r="B343">
        <v>0.21577644000000001</v>
      </c>
      <c r="C343">
        <v>10926957.52</v>
      </c>
      <c r="D343">
        <v>65561.745129999996</v>
      </c>
      <c r="E343">
        <v>13112349.029999999</v>
      </c>
      <c r="F343" t="s">
        <v>17</v>
      </c>
      <c r="G343" t="s">
        <v>32</v>
      </c>
      <c r="H343" t="s">
        <v>16</v>
      </c>
      <c r="I343" t="s">
        <v>16</v>
      </c>
      <c r="J343" t="s">
        <v>16</v>
      </c>
      <c r="K343" t="s">
        <v>16</v>
      </c>
      <c r="L343" t="s">
        <v>228</v>
      </c>
      <c r="M343" t="str">
        <f t="shared" si="12"/>
        <v>abx_challengedwild</v>
      </c>
      <c r="N343" t="s">
        <v>228</v>
      </c>
      <c r="O343" t="s">
        <v>229</v>
      </c>
      <c r="P343" t="s">
        <v>325</v>
      </c>
      <c r="Q343">
        <v>65561.745129999996</v>
      </c>
    </row>
    <row r="344" spans="1:17" x14ac:dyDescent="0.2">
      <c r="A344" t="s">
        <v>328</v>
      </c>
      <c r="B344" s="1">
        <v>0</v>
      </c>
      <c r="C344">
        <v>10.56484478</v>
      </c>
      <c r="D344">
        <v>0</v>
      </c>
      <c r="E344">
        <v>0</v>
      </c>
      <c r="F344" t="s">
        <v>19</v>
      </c>
      <c r="G344" t="s">
        <v>36</v>
      </c>
      <c r="H344" t="s">
        <v>37</v>
      </c>
      <c r="I344">
        <v>0</v>
      </c>
      <c r="J344" t="s">
        <v>37</v>
      </c>
      <c r="K344">
        <v>0</v>
      </c>
      <c r="L344" t="s">
        <v>228</v>
      </c>
      <c r="M344" t="str">
        <f t="shared" si="12"/>
        <v>controlwild</v>
      </c>
      <c r="N344" t="s">
        <v>228</v>
      </c>
      <c r="O344" t="s">
        <v>229</v>
      </c>
      <c r="P344" t="s">
        <v>325</v>
      </c>
      <c r="Q344" t="s">
        <v>16</v>
      </c>
    </row>
    <row r="345" spans="1:17" x14ac:dyDescent="0.2">
      <c r="A345" t="s">
        <v>1007</v>
      </c>
      <c r="B345" s="1">
        <v>0</v>
      </c>
      <c r="C345">
        <v>820788584.70000005</v>
      </c>
      <c r="D345">
        <v>4924731.5080000004</v>
      </c>
      <c r="E345">
        <v>984946301.70000005</v>
      </c>
      <c r="F345" t="s">
        <v>33</v>
      </c>
      <c r="G345" t="s">
        <v>36</v>
      </c>
      <c r="H345" t="s">
        <v>38</v>
      </c>
      <c r="I345">
        <v>277108067.80000001</v>
      </c>
      <c r="J345" t="s">
        <v>38</v>
      </c>
      <c r="K345">
        <v>38205384.969999999</v>
      </c>
      <c r="L345" t="s">
        <v>228</v>
      </c>
      <c r="M345" t="str">
        <f t="shared" si="12"/>
        <v>controlwild</v>
      </c>
      <c r="N345" t="s">
        <v>228</v>
      </c>
      <c r="O345" t="s">
        <v>229</v>
      </c>
      <c r="P345" t="s">
        <v>325</v>
      </c>
      <c r="Q345" t="s">
        <v>16</v>
      </c>
    </row>
    <row r="346" spans="1:17" x14ac:dyDescent="0.2">
      <c r="A346" t="s">
        <v>329</v>
      </c>
      <c r="B346" s="1">
        <v>0</v>
      </c>
      <c r="C346" t="s">
        <v>16</v>
      </c>
      <c r="D346">
        <v>0</v>
      </c>
      <c r="E346">
        <v>0</v>
      </c>
      <c r="F346" t="s">
        <v>17</v>
      </c>
      <c r="G346" t="s">
        <v>36</v>
      </c>
      <c r="H346" t="s">
        <v>38</v>
      </c>
      <c r="I346">
        <v>136297237.30000001</v>
      </c>
      <c r="J346" t="s">
        <v>38</v>
      </c>
      <c r="K346">
        <v>13112349.029999999</v>
      </c>
      <c r="L346" t="s">
        <v>228</v>
      </c>
      <c r="M346" t="str">
        <f t="shared" si="12"/>
        <v>controlwild</v>
      </c>
      <c r="N346" t="s">
        <v>228</v>
      </c>
      <c r="O346" t="s">
        <v>229</v>
      </c>
      <c r="P346" t="s">
        <v>325</v>
      </c>
      <c r="Q346" t="s">
        <v>16</v>
      </c>
    </row>
    <row r="347" spans="1:17" x14ac:dyDescent="0.2">
      <c r="A347" t="s">
        <v>330</v>
      </c>
      <c r="B347">
        <v>0.14994628300000001</v>
      </c>
      <c r="C347">
        <v>83.634525389999993</v>
      </c>
      <c r="D347">
        <v>0</v>
      </c>
      <c r="E347">
        <v>0</v>
      </c>
      <c r="F347" t="s">
        <v>19</v>
      </c>
      <c r="G347" t="s">
        <v>41</v>
      </c>
      <c r="H347" t="s">
        <v>16</v>
      </c>
      <c r="I347" t="s">
        <v>16</v>
      </c>
      <c r="J347" t="s">
        <v>16</v>
      </c>
      <c r="K347" t="s">
        <v>16</v>
      </c>
      <c r="L347" t="s">
        <v>228</v>
      </c>
      <c r="M347" t="str">
        <f t="shared" si="12"/>
        <v>challengedwild</v>
      </c>
      <c r="N347" t="s">
        <v>228</v>
      </c>
      <c r="O347" t="s">
        <v>229</v>
      </c>
      <c r="P347" t="s">
        <v>325</v>
      </c>
      <c r="Q347">
        <v>0</v>
      </c>
    </row>
    <row r="348" spans="1:17" x14ac:dyDescent="0.2">
      <c r="A348" t="s">
        <v>1008</v>
      </c>
      <c r="B348">
        <v>0.127826527</v>
      </c>
      <c r="C348">
        <v>23092338.98</v>
      </c>
      <c r="D348">
        <v>1385540.3389999999</v>
      </c>
      <c r="E348">
        <v>277108067.80000001</v>
      </c>
      <c r="F348" t="s">
        <v>33</v>
      </c>
      <c r="G348" t="s">
        <v>41</v>
      </c>
      <c r="H348" t="s">
        <v>16</v>
      </c>
      <c r="I348" t="s">
        <v>16</v>
      </c>
      <c r="J348" t="s">
        <v>16</v>
      </c>
      <c r="K348" t="s">
        <v>16</v>
      </c>
      <c r="L348" t="s">
        <v>228</v>
      </c>
      <c r="M348" t="str">
        <f t="shared" si="12"/>
        <v>challengedwild</v>
      </c>
      <c r="N348" t="s">
        <v>228</v>
      </c>
      <c r="O348" t="s">
        <v>229</v>
      </c>
      <c r="P348" t="s">
        <v>325</v>
      </c>
      <c r="Q348">
        <v>704054.15229999996</v>
      </c>
    </row>
    <row r="349" spans="1:17" x14ac:dyDescent="0.2">
      <c r="A349" t="s">
        <v>331</v>
      </c>
      <c r="B349">
        <v>9.0009769000000003E-2</v>
      </c>
      <c r="C349">
        <v>11358103.109999999</v>
      </c>
      <c r="D349">
        <v>681486.18669999996</v>
      </c>
      <c r="E349">
        <v>136297237.30000001</v>
      </c>
      <c r="F349" t="s">
        <v>17</v>
      </c>
      <c r="G349" t="s">
        <v>41</v>
      </c>
      <c r="H349" t="s">
        <v>16</v>
      </c>
      <c r="I349" t="s">
        <v>16</v>
      </c>
      <c r="J349" t="s">
        <v>16</v>
      </c>
      <c r="K349" t="s">
        <v>16</v>
      </c>
      <c r="L349" t="s">
        <v>228</v>
      </c>
      <c r="M349" t="str">
        <f t="shared" si="12"/>
        <v>challengedwild</v>
      </c>
      <c r="N349" t="s">
        <v>228</v>
      </c>
      <c r="O349" t="s">
        <v>229</v>
      </c>
      <c r="P349" t="s">
        <v>325</v>
      </c>
      <c r="Q349">
        <v>681486.18669999996</v>
      </c>
    </row>
    <row r="350" spans="1:17" x14ac:dyDescent="0.2">
      <c r="A350" t="s">
        <v>332</v>
      </c>
      <c r="B350" t="s">
        <v>16</v>
      </c>
      <c r="C350" t="s">
        <v>16</v>
      </c>
      <c r="D350" t="s">
        <v>16</v>
      </c>
      <c r="E350" t="s">
        <v>16</v>
      </c>
      <c r="F350" t="s">
        <v>26</v>
      </c>
      <c r="G350" t="s">
        <v>26</v>
      </c>
      <c r="H350" t="s">
        <v>16</v>
      </c>
      <c r="I350" t="s">
        <v>16</v>
      </c>
      <c r="J350" t="s">
        <v>16</v>
      </c>
      <c r="K350" t="s">
        <v>16</v>
      </c>
      <c r="L350" t="s">
        <v>228</v>
      </c>
      <c r="M350" t="str">
        <f t="shared" si="12"/>
        <v>fecalwild</v>
      </c>
      <c r="N350" t="s">
        <v>228</v>
      </c>
      <c r="O350" t="s">
        <v>229</v>
      </c>
      <c r="P350" t="s">
        <v>333</v>
      </c>
      <c r="Q350" t="s">
        <v>16</v>
      </c>
    </row>
    <row r="351" spans="1:17" x14ac:dyDescent="0.2">
      <c r="A351" t="s">
        <v>334</v>
      </c>
      <c r="B351">
        <v>0.107248518</v>
      </c>
      <c r="C351">
        <v>193.47336609999999</v>
      </c>
      <c r="D351">
        <v>17.914200569999998</v>
      </c>
      <c r="E351">
        <v>3582.8401140000001</v>
      </c>
      <c r="F351" t="s">
        <v>19</v>
      </c>
      <c r="G351" t="s">
        <v>32</v>
      </c>
      <c r="H351" t="s">
        <v>16</v>
      </c>
      <c r="I351" t="s">
        <v>16</v>
      </c>
      <c r="J351" t="s">
        <v>16</v>
      </c>
      <c r="K351" t="s">
        <v>16</v>
      </c>
      <c r="L351" t="s">
        <v>228</v>
      </c>
      <c r="M351" t="str">
        <f t="shared" si="12"/>
        <v>abx_challengedwild</v>
      </c>
      <c r="N351" t="s">
        <v>228</v>
      </c>
      <c r="O351" t="s">
        <v>229</v>
      </c>
      <c r="P351" t="s">
        <v>333</v>
      </c>
      <c r="Q351">
        <v>17.914200569999998</v>
      </c>
    </row>
    <row r="352" spans="1:17" x14ac:dyDescent="0.2">
      <c r="A352" t="s">
        <v>1009</v>
      </c>
      <c r="B352">
        <v>0.16301902600000001</v>
      </c>
      <c r="C352">
        <v>193725226.40000001</v>
      </c>
      <c r="D352">
        <v>387450.45270000002</v>
      </c>
      <c r="E352">
        <v>77490090.549999997</v>
      </c>
      <c r="F352" t="s">
        <v>33</v>
      </c>
      <c r="G352" t="s">
        <v>32</v>
      </c>
      <c r="H352" t="s">
        <v>16</v>
      </c>
      <c r="I352" t="s">
        <v>16</v>
      </c>
      <c r="J352" t="s">
        <v>16</v>
      </c>
      <c r="K352" t="s">
        <v>16</v>
      </c>
      <c r="L352" t="s">
        <v>228</v>
      </c>
      <c r="M352" t="str">
        <f t="shared" si="12"/>
        <v>abx_challengedwild</v>
      </c>
      <c r="N352" t="s">
        <v>228</v>
      </c>
      <c r="O352" t="s">
        <v>229</v>
      </c>
      <c r="P352" t="s">
        <v>333</v>
      </c>
      <c r="Q352">
        <v>387450.45270000002</v>
      </c>
    </row>
    <row r="353" spans="1:17" x14ac:dyDescent="0.2">
      <c r="A353" t="s">
        <v>335</v>
      </c>
      <c r="B353">
        <v>0.107110407</v>
      </c>
      <c r="C353">
        <v>6450941.7819999997</v>
      </c>
      <c r="D353">
        <v>38705.650690000002</v>
      </c>
      <c r="E353">
        <v>7741130.1390000004</v>
      </c>
      <c r="F353" t="s">
        <v>17</v>
      </c>
      <c r="G353" t="s">
        <v>32</v>
      </c>
      <c r="H353" t="s">
        <v>16</v>
      </c>
      <c r="I353" t="s">
        <v>16</v>
      </c>
      <c r="J353" t="s">
        <v>16</v>
      </c>
      <c r="K353" t="s">
        <v>16</v>
      </c>
      <c r="L353" t="s">
        <v>228</v>
      </c>
      <c r="M353" t="str">
        <f t="shared" si="12"/>
        <v>abx_challengedwild</v>
      </c>
      <c r="N353" t="s">
        <v>228</v>
      </c>
      <c r="O353" t="s">
        <v>229</v>
      </c>
      <c r="P353" t="s">
        <v>333</v>
      </c>
      <c r="Q353">
        <v>38705.650690000002</v>
      </c>
    </row>
    <row r="354" spans="1:17" x14ac:dyDescent="0.2">
      <c r="A354" t="s">
        <v>336</v>
      </c>
      <c r="B354" s="1">
        <v>0</v>
      </c>
      <c r="C354" t="s">
        <v>16</v>
      </c>
      <c r="D354">
        <v>0</v>
      </c>
      <c r="E354">
        <v>0</v>
      </c>
      <c r="F354" t="s">
        <v>19</v>
      </c>
      <c r="G354" t="s">
        <v>36</v>
      </c>
      <c r="H354" t="s">
        <v>37</v>
      </c>
      <c r="I354">
        <v>0</v>
      </c>
      <c r="J354" t="s">
        <v>37</v>
      </c>
      <c r="K354">
        <v>3582.8401140000001</v>
      </c>
      <c r="L354" t="s">
        <v>228</v>
      </c>
      <c r="M354" t="str">
        <f t="shared" si="12"/>
        <v>controlwild</v>
      </c>
      <c r="N354" t="s">
        <v>228</v>
      </c>
      <c r="O354" t="s">
        <v>229</v>
      </c>
      <c r="P354" t="s">
        <v>333</v>
      </c>
      <c r="Q354" t="s">
        <v>16</v>
      </c>
    </row>
    <row r="355" spans="1:17" x14ac:dyDescent="0.2">
      <c r="A355" t="s">
        <v>1010</v>
      </c>
      <c r="B355" s="1">
        <v>0</v>
      </c>
      <c r="C355">
        <v>134866198.09999999</v>
      </c>
      <c r="D355">
        <v>809197.18830000004</v>
      </c>
      <c r="E355">
        <v>161839437.69999999</v>
      </c>
      <c r="F355" t="s">
        <v>33</v>
      </c>
      <c r="G355" t="s">
        <v>36</v>
      </c>
      <c r="H355" t="s">
        <v>38</v>
      </c>
      <c r="I355">
        <v>159650419.40000001</v>
      </c>
      <c r="J355" t="s">
        <v>38</v>
      </c>
      <c r="K355">
        <v>77490090.549999997</v>
      </c>
      <c r="L355" t="s">
        <v>228</v>
      </c>
      <c r="M355" t="str">
        <f t="shared" si="12"/>
        <v>controlwild</v>
      </c>
      <c r="N355" t="s">
        <v>228</v>
      </c>
      <c r="O355" t="s">
        <v>229</v>
      </c>
      <c r="P355" t="s">
        <v>333</v>
      </c>
      <c r="Q355" t="s">
        <v>16</v>
      </c>
    </row>
    <row r="356" spans="1:17" x14ac:dyDescent="0.2">
      <c r="A356" t="s">
        <v>337</v>
      </c>
      <c r="B356" s="1">
        <v>0</v>
      </c>
      <c r="C356" t="s">
        <v>16</v>
      </c>
      <c r="D356">
        <v>0</v>
      </c>
      <c r="E356">
        <v>0</v>
      </c>
      <c r="F356" t="s">
        <v>17</v>
      </c>
      <c r="G356" t="s">
        <v>36</v>
      </c>
      <c r="H356" t="s">
        <v>38</v>
      </c>
      <c r="I356">
        <v>137845432.30000001</v>
      </c>
      <c r="J356" t="s">
        <v>38</v>
      </c>
      <c r="K356">
        <v>7741130.1390000004</v>
      </c>
      <c r="L356" t="s">
        <v>228</v>
      </c>
      <c r="M356" t="str">
        <f t="shared" si="12"/>
        <v>controlwild</v>
      </c>
      <c r="N356" t="s">
        <v>228</v>
      </c>
      <c r="O356" t="s">
        <v>229</v>
      </c>
      <c r="P356" t="s">
        <v>333</v>
      </c>
      <c r="Q356" t="s">
        <v>16</v>
      </c>
    </row>
    <row r="357" spans="1:17" x14ac:dyDescent="0.2">
      <c r="A357" t="s">
        <v>338</v>
      </c>
      <c r="B357">
        <v>0.13355034599999999</v>
      </c>
      <c r="C357">
        <v>21.115606020000001</v>
      </c>
      <c r="D357">
        <v>0</v>
      </c>
      <c r="E357">
        <v>0</v>
      </c>
      <c r="F357" t="s">
        <v>19</v>
      </c>
      <c r="G357" t="s">
        <v>41</v>
      </c>
      <c r="H357" t="s">
        <v>16</v>
      </c>
      <c r="I357" t="s">
        <v>16</v>
      </c>
      <c r="J357" t="s">
        <v>16</v>
      </c>
      <c r="K357" t="s">
        <v>16</v>
      </c>
      <c r="L357" t="s">
        <v>228</v>
      </c>
      <c r="M357" t="str">
        <f t="shared" si="12"/>
        <v>challengedwild</v>
      </c>
      <c r="N357" t="s">
        <v>228</v>
      </c>
      <c r="O357" t="s">
        <v>229</v>
      </c>
      <c r="P357" t="s">
        <v>333</v>
      </c>
      <c r="Q357">
        <v>0</v>
      </c>
    </row>
    <row r="358" spans="1:17" x14ac:dyDescent="0.2">
      <c r="A358" t="s">
        <v>1011</v>
      </c>
      <c r="B358">
        <v>3.9177708999999998E-2</v>
      </c>
      <c r="C358">
        <v>13304201.609999999</v>
      </c>
      <c r="D358">
        <v>798252.09680000006</v>
      </c>
      <c r="E358">
        <v>159650419.40000001</v>
      </c>
      <c r="F358" t="s">
        <v>33</v>
      </c>
      <c r="G358" t="s">
        <v>41</v>
      </c>
      <c r="H358" t="s">
        <v>16</v>
      </c>
      <c r="I358" t="s">
        <v>16</v>
      </c>
      <c r="J358" t="s">
        <v>16</v>
      </c>
      <c r="K358" t="s">
        <v>16</v>
      </c>
      <c r="L358" t="s">
        <v>228</v>
      </c>
      <c r="M358" t="str">
        <f t="shared" si="12"/>
        <v>challengedwild</v>
      </c>
      <c r="N358" t="s">
        <v>228</v>
      </c>
      <c r="O358" t="s">
        <v>229</v>
      </c>
      <c r="P358" t="s">
        <v>333</v>
      </c>
      <c r="Q358">
        <v>109024.935</v>
      </c>
    </row>
    <row r="359" spans="1:17" x14ac:dyDescent="0.2">
      <c r="A359" t="s">
        <v>339</v>
      </c>
      <c r="B359">
        <v>9.6907322000000004E-2</v>
      </c>
      <c r="C359">
        <v>11487119.359999999</v>
      </c>
      <c r="D359">
        <v>689227.16170000006</v>
      </c>
      <c r="E359">
        <v>137845432.30000001</v>
      </c>
      <c r="F359" t="s">
        <v>17</v>
      </c>
      <c r="G359" t="s">
        <v>41</v>
      </c>
      <c r="H359" t="s">
        <v>16</v>
      </c>
      <c r="I359" t="s">
        <v>16</v>
      </c>
      <c r="J359" t="s">
        <v>16</v>
      </c>
      <c r="K359" t="s">
        <v>16</v>
      </c>
      <c r="L359" t="s">
        <v>228</v>
      </c>
      <c r="M359" t="str">
        <f t="shared" si="12"/>
        <v>challengedwild</v>
      </c>
      <c r="N359" t="s">
        <v>228</v>
      </c>
      <c r="O359" t="s">
        <v>229</v>
      </c>
      <c r="P359" t="s">
        <v>333</v>
      </c>
      <c r="Q359">
        <v>689227.16170000006</v>
      </c>
    </row>
    <row r="360" spans="1:17" x14ac:dyDescent="0.2">
      <c r="A360" t="s">
        <v>340</v>
      </c>
      <c r="B360" t="s">
        <v>16</v>
      </c>
      <c r="C360" t="s">
        <v>16</v>
      </c>
      <c r="D360" t="s">
        <v>16</v>
      </c>
      <c r="E360" t="s">
        <v>16</v>
      </c>
      <c r="F360" t="s">
        <v>26</v>
      </c>
      <c r="G360" t="s">
        <v>26</v>
      </c>
      <c r="H360" t="s">
        <v>16</v>
      </c>
      <c r="I360" t="s">
        <v>16</v>
      </c>
      <c r="J360" t="s">
        <v>16</v>
      </c>
      <c r="K360" t="s">
        <v>16</v>
      </c>
      <c r="L360" t="s">
        <v>228</v>
      </c>
      <c r="M360" t="str">
        <f t="shared" si="12"/>
        <v>fecalwild</v>
      </c>
      <c r="N360" t="s">
        <v>228</v>
      </c>
      <c r="O360" t="s">
        <v>229</v>
      </c>
      <c r="P360" t="s">
        <v>341</v>
      </c>
      <c r="Q360" t="s">
        <v>16</v>
      </c>
    </row>
    <row r="361" spans="1:17" x14ac:dyDescent="0.2">
      <c r="A361" t="s">
        <v>342</v>
      </c>
      <c r="B361">
        <v>0.136552804</v>
      </c>
      <c r="C361">
        <v>162.73783453524953</v>
      </c>
      <c r="D361">
        <v>15.068318012523104</v>
      </c>
      <c r="E361">
        <f>D361*200</f>
        <v>3013.6636025046209</v>
      </c>
      <c r="F361" t="s">
        <v>19</v>
      </c>
      <c r="G361" t="s">
        <v>32</v>
      </c>
      <c r="H361" t="s">
        <v>16</v>
      </c>
      <c r="I361" t="s">
        <v>16</v>
      </c>
      <c r="J361" t="s">
        <v>16</v>
      </c>
      <c r="K361" t="s">
        <v>16</v>
      </c>
      <c r="L361" t="s">
        <v>228</v>
      </c>
      <c r="M361" t="str">
        <f t="shared" si="12"/>
        <v>abx_challengedwild</v>
      </c>
      <c r="N361" t="s">
        <v>228</v>
      </c>
      <c r="O361" t="s">
        <v>229</v>
      </c>
      <c r="P361" t="s">
        <v>341</v>
      </c>
      <c r="Q361">
        <f>E361-E362</f>
        <v>2611.3432360484603</v>
      </c>
    </row>
    <row r="362" spans="1:17" x14ac:dyDescent="0.2">
      <c r="A362" t="s">
        <v>343</v>
      </c>
      <c r="B362">
        <v>0</v>
      </c>
      <c r="C362">
        <v>21.725299788632668</v>
      </c>
      <c r="D362">
        <v>2.0116018322808027</v>
      </c>
      <c r="E362">
        <f t="shared" ref="E362:E363" si="13">D362*200</f>
        <v>402.32036645616051</v>
      </c>
      <c r="F362" t="s">
        <v>19</v>
      </c>
      <c r="G362" t="s">
        <v>36</v>
      </c>
      <c r="H362" t="s">
        <v>37</v>
      </c>
      <c r="I362">
        <v>369.41108910000003</v>
      </c>
      <c r="J362" t="s">
        <v>37</v>
      </c>
      <c r="K362">
        <v>3013.663603</v>
      </c>
      <c r="L362" t="s">
        <v>228</v>
      </c>
      <c r="M362" t="str">
        <f t="shared" si="12"/>
        <v>controlwild</v>
      </c>
      <c r="N362" t="s">
        <v>228</v>
      </c>
      <c r="O362" t="s">
        <v>229</v>
      </c>
      <c r="P362" t="s">
        <v>341</v>
      </c>
      <c r="Q362" t="s">
        <v>16</v>
      </c>
    </row>
    <row r="363" spans="1:17" x14ac:dyDescent="0.2">
      <c r="A363" t="s">
        <v>344</v>
      </c>
      <c r="B363">
        <v>0.116043646</v>
      </c>
      <c r="C363">
        <v>19.948198810427201</v>
      </c>
      <c r="D363">
        <v>1.8470554454099259</v>
      </c>
      <c r="E363">
        <f t="shared" si="13"/>
        <v>369.41108908198521</v>
      </c>
      <c r="F363" t="s">
        <v>19</v>
      </c>
      <c r="G363" t="s">
        <v>41</v>
      </c>
      <c r="H363" t="s">
        <v>16</v>
      </c>
      <c r="I363" t="s">
        <v>16</v>
      </c>
      <c r="J363" t="s">
        <v>16</v>
      </c>
      <c r="K363" t="s">
        <v>16</v>
      </c>
      <c r="L363" t="s">
        <v>228</v>
      </c>
      <c r="M363" t="str">
        <f t="shared" si="12"/>
        <v>challengedwild</v>
      </c>
      <c r="N363" t="s">
        <v>228</v>
      </c>
      <c r="O363" t="s">
        <v>229</v>
      </c>
      <c r="P363" t="s">
        <v>341</v>
      </c>
      <c r="Q363">
        <f>E363-E362</f>
        <v>-32.909277374175304</v>
      </c>
    </row>
    <row r="364" spans="1:17" x14ac:dyDescent="0.2">
      <c r="A364" t="s">
        <v>345</v>
      </c>
      <c r="B364" t="s">
        <v>16</v>
      </c>
      <c r="C364" t="s">
        <v>16</v>
      </c>
      <c r="D364" t="s">
        <v>16</v>
      </c>
      <c r="E364" t="s">
        <v>16</v>
      </c>
      <c r="F364" t="s">
        <v>26</v>
      </c>
      <c r="G364" t="s">
        <v>26</v>
      </c>
      <c r="H364" t="s">
        <v>16</v>
      </c>
      <c r="I364" t="s">
        <v>16</v>
      </c>
      <c r="J364" t="s">
        <v>16</v>
      </c>
      <c r="K364" t="s">
        <v>16</v>
      </c>
      <c r="L364" t="s">
        <v>228</v>
      </c>
      <c r="M364" t="str">
        <f t="shared" si="12"/>
        <v>fecalwild</v>
      </c>
      <c r="N364" t="s">
        <v>228</v>
      </c>
      <c r="O364" t="s">
        <v>229</v>
      </c>
      <c r="P364" t="s">
        <v>346</v>
      </c>
      <c r="Q364" t="s">
        <v>16</v>
      </c>
    </row>
    <row r="365" spans="1:17" x14ac:dyDescent="0.2">
      <c r="A365" t="s">
        <v>347</v>
      </c>
      <c r="B365">
        <v>0.108216119</v>
      </c>
      <c r="C365">
        <v>7.5842766484067878</v>
      </c>
      <c r="D365">
        <v>0.70224783781544331</v>
      </c>
      <c r="E365">
        <f>D365*200</f>
        <v>140.44956756308866</v>
      </c>
      <c r="F365" t="s">
        <v>19</v>
      </c>
      <c r="G365" t="s">
        <v>32</v>
      </c>
      <c r="H365" t="s">
        <v>16</v>
      </c>
      <c r="I365" t="s">
        <v>16</v>
      </c>
      <c r="J365" t="s">
        <v>16</v>
      </c>
      <c r="K365" t="s">
        <v>16</v>
      </c>
      <c r="L365" t="s">
        <v>228</v>
      </c>
      <c r="M365" t="str">
        <f t="shared" si="12"/>
        <v>abx_challengedwild</v>
      </c>
      <c r="N365" t="s">
        <v>228</v>
      </c>
      <c r="O365" t="s">
        <v>229</v>
      </c>
      <c r="P365" t="s">
        <v>346</v>
      </c>
      <c r="Q365" s="1">
        <v>140.449568</v>
      </c>
    </row>
    <row r="366" spans="1:17" x14ac:dyDescent="0.2">
      <c r="A366" t="s">
        <v>348</v>
      </c>
      <c r="B366">
        <v>0</v>
      </c>
      <c r="C366" t="s">
        <v>16</v>
      </c>
      <c r="D366">
        <v>0</v>
      </c>
      <c r="E366">
        <f t="shared" ref="E366:E367" si="14">D366*200</f>
        <v>0</v>
      </c>
      <c r="F366" t="s">
        <v>19</v>
      </c>
      <c r="G366" t="s">
        <v>36</v>
      </c>
      <c r="H366" t="s">
        <v>37</v>
      </c>
      <c r="I366">
        <v>828.48543029999996</v>
      </c>
      <c r="J366" t="s">
        <v>37</v>
      </c>
      <c r="K366">
        <v>140.44956759999999</v>
      </c>
      <c r="L366" t="s">
        <v>228</v>
      </c>
      <c r="M366" t="str">
        <f t="shared" si="12"/>
        <v>controlwild</v>
      </c>
      <c r="N366" t="s">
        <v>228</v>
      </c>
      <c r="O366" t="s">
        <v>229</v>
      </c>
      <c r="P366" t="s">
        <v>346</v>
      </c>
      <c r="Q366" t="s">
        <v>16</v>
      </c>
    </row>
    <row r="367" spans="1:17" x14ac:dyDescent="0.2">
      <c r="A367" t="s">
        <v>349</v>
      </c>
      <c r="B367">
        <v>6.8880036000000006E-2</v>
      </c>
      <c r="C367">
        <v>44.73821323507196</v>
      </c>
      <c r="D367">
        <v>4.1424271513955517</v>
      </c>
      <c r="E367">
        <f t="shared" si="14"/>
        <v>828.48543027911035</v>
      </c>
      <c r="F367" t="s">
        <v>19</v>
      </c>
      <c r="G367" t="s">
        <v>41</v>
      </c>
      <c r="H367" t="s">
        <v>16</v>
      </c>
      <c r="I367" t="s">
        <v>16</v>
      </c>
      <c r="J367" t="s">
        <v>16</v>
      </c>
      <c r="K367" t="s">
        <v>16</v>
      </c>
      <c r="L367" t="s">
        <v>228</v>
      </c>
      <c r="M367" t="str">
        <f t="shared" si="12"/>
        <v>challengedwild</v>
      </c>
      <c r="N367" t="s">
        <v>228</v>
      </c>
      <c r="O367" t="s">
        <v>229</v>
      </c>
      <c r="P367" t="s">
        <v>346</v>
      </c>
      <c r="Q367">
        <v>828.48543029999996</v>
      </c>
    </row>
    <row r="368" spans="1:17" x14ac:dyDescent="0.2">
      <c r="A368" t="s">
        <v>350</v>
      </c>
      <c r="B368">
        <v>0.116932782</v>
      </c>
      <c r="C368">
        <v>468.45808770000002</v>
      </c>
      <c r="D368">
        <v>43.375748860000002</v>
      </c>
      <c r="E368">
        <v>8675.1497720000007</v>
      </c>
      <c r="F368" t="s">
        <v>19</v>
      </c>
      <c r="G368" t="s">
        <v>32</v>
      </c>
      <c r="H368" t="s">
        <v>16</v>
      </c>
      <c r="I368" t="s">
        <v>16</v>
      </c>
      <c r="J368" t="s">
        <v>16</v>
      </c>
      <c r="K368" t="s">
        <v>16</v>
      </c>
      <c r="L368" t="s">
        <v>228</v>
      </c>
      <c r="M368" t="str">
        <f t="shared" si="12"/>
        <v>abx_challengedwild</v>
      </c>
      <c r="N368" t="s">
        <v>228</v>
      </c>
      <c r="O368" t="s">
        <v>351</v>
      </c>
      <c r="P368" t="s">
        <v>352</v>
      </c>
      <c r="Q368">
        <v>43.375748860000002</v>
      </c>
    </row>
    <row r="369" spans="1:17" x14ac:dyDescent="0.2">
      <c r="A369" t="s">
        <v>1012</v>
      </c>
      <c r="B369">
        <v>0.131147554</v>
      </c>
      <c r="C369">
        <v>252340921.80000001</v>
      </c>
      <c r="D369">
        <v>504681.84360000002</v>
      </c>
      <c r="E369">
        <v>100936368.7</v>
      </c>
      <c r="F369" t="s">
        <v>33</v>
      </c>
      <c r="G369" t="s">
        <v>32</v>
      </c>
      <c r="H369" t="s">
        <v>16</v>
      </c>
      <c r="I369" t="s">
        <v>16</v>
      </c>
      <c r="J369" t="s">
        <v>16</v>
      </c>
      <c r="K369" t="s">
        <v>16</v>
      </c>
      <c r="L369" t="s">
        <v>228</v>
      </c>
      <c r="M369" t="str">
        <f t="shared" si="12"/>
        <v>abx_challengedwild</v>
      </c>
      <c r="N369" t="s">
        <v>228</v>
      </c>
      <c r="O369" t="s">
        <v>351</v>
      </c>
      <c r="P369" t="s">
        <v>352</v>
      </c>
      <c r="Q369">
        <v>433482.5135</v>
      </c>
    </row>
    <row r="370" spans="1:17" x14ac:dyDescent="0.2">
      <c r="A370" t="s">
        <v>353</v>
      </c>
      <c r="B370">
        <v>0.21407970100000001</v>
      </c>
      <c r="C370">
        <v>11866555.02</v>
      </c>
      <c r="D370">
        <v>71199.330109999995</v>
      </c>
      <c r="E370">
        <v>14239866.02</v>
      </c>
      <c r="F370" t="s">
        <v>17</v>
      </c>
      <c r="G370" t="s">
        <v>32</v>
      </c>
      <c r="H370" t="s">
        <v>16</v>
      </c>
      <c r="I370" t="s">
        <v>16</v>
      </c>
      <c r="J370" t="s">
        <v>16</v>
      </c>
      <c r="K370" t="s">
        <v>16</v>
      </c>
      <c r="L370" t="s">
        <v>228</v>
      </c>
      <c r="M370" t="str">
        <f t="shared" si="12"/>
        <v>abx_challengedwild</v>
      </c>
      <c r="N370" t="s">
        <v>228</v>
      </c>
      <c r="O370" t="s">
        <v>351</v>
      </c>
      <c r="P370" t="s">
        <v>352</v>
      </c>
      <c r="Q370">
        <v>71199.330109999995</v>
      </c>
    </row>
    <row r="371" spans="1:17" x14ac:dyDescent="0.2">
      <c r="A371" t="s">
        <v>354</v>
      </c>
      <c r="B371" s="1">
        <v>0</v>
      </c>
      <c r="C371" t="s">
        <v>16</v>
      </c>
      <c r="D371">
        <v>0</v>
      </c>
      <c r="E371">
        <v>0</v>
      </c>
      <c r="F371" t="s">
        <v>19</v>
      </c>
      <c r="G371" t="s">
        <v>36</v>
      </c>
      <c r="H371" t="s">
        <v>37</v>
      </c>
      <c r="I371">
        <v>17734.232459999999</v>
      </c>
      <c r="J371" t="s">
        <v>37</v>
      </c>
      <c r="K371">
        <v>8675.1497720000007</v>
      </c>
      <c r="L371" t="s">
        <v>228</v>
      </c>
      <c r="M371" t="str">
        <f t="shared" si="12"/>
        <v>controlwild</v>
      </c>
      <c r="N371" t="s">
        <v>228</v>
      </c>
      <c r="O371" t="s">
        <v>351</v>
      </c>
      <c r="P371" t="s">
        <v>352</v>
      </c>
      <c r="Q371" t="s">
        <v>16</v>
      </c>
    </row>
    <row r="372" spans="1:17" x14ac:dyDescent="0.2">
      <c r="A372" t="s">
        <v>1013</v>
      </c>
      <c r="B372" s="1">
        <v>0</v>
      </c>
      <c r="C372">
        <v>1304599532</v>
      </c>
      <c r="D372">
        <v>7827597.193</v>
      </c>
      <c r="E372">
        <v>1565519439</v>
      </c>
      <c r="F372" t="s">
        <v>33</v>
      </c>
      <c r="G372" t="s">
        <v>36</v>
      </c>
      <c r="H372" t="s">
        <v>38</v>
      </c>
      <c r="I372">
        <v>8776901899</v>
      </c>
      <c r="J372" t="s">
        <v>38</v>
      </c>
      <c r="K372">
        <v>100936368.7</v>
      </c>
      <c r="L372" t="s">
        <v>228</v>
      </c>
      <c r="M372" t="str">
        <f t="shared" si="12"/>
        <v>controlwild</v>
      </c>
      <c r="N372" t="s">
        <v>228</v>
      </c>
      <c r="O372" t="s">
        <v>351</v>
      </c>
      <c r="P372" t="s">
        <v>352</v>
      </c>
      <c r="Q372" t="s">
        <v>16</v>
      </c>
    </row>
    <row r="373" spans="1:17" x14ac:dyDescent="0.2">
      <c r="A373" t="s">
        <v>355</v>
      </c>
      <c r="B373" s="1">
        <v>0</v>
      </c>
      <c r="C373" t="s">
        <v>16</v>
      </c>
      <c r="D373">
        <v>0</v>
      </c>
      <c r="E373">
        <v>0</v>
      </c>
      <c r="F373" t="s">
        <v>17</v>
      </c>
      <c r="G373" t="s">
        <v>36</v>
      </c>
      <c r="H373" t="s">
        <v>38</v>
      </c>
      <c r="I373">
        <v>223435079.90000001</v>
      </c>
      <c r="J373" t="s">
        <v>38</v>
      </c>
      <c r="K373">
        <v>14239866.02</v>
      </c>
      <c r="L373" t="s">
        <v>228</v>
      </c>
      <c r="M373" t="str">
        <f t="shared" si="12"/>
        <v>controlwild</v>
      </c>
      <c r="N373" t="s">
        <v>228</v>
      </c>
      <c r="O373" t="s">
        <v>351</v>
      </c>
      <c r="P373" t="s">
        <v>352</v>
      </c>
      <c r="Q373" t="s">
        <v>16</v>
      </c>
    </row>
    <row r="374" spans="1:17" x14ac:dyDescent="0.2">
      <c r="A374" t="s">
        <v>356</v>
      </c>
      <c r="B374">
        <v>6.7130132999999995E-2</v>
      </c>
      <c r="C374">
        <v>957.64855260000002</v>
      </c>
      <c r="D374">
        <v>88.671162280000004</v>
      </c>
      <c r="E374">
        <v>17734.232459999999</v>
      </c>
      <c r="F374" t="s">
        <v>19</v>
      </c>
      <c r="G374" t="s">
        <v>41</v>
      </c>
      <c r="H374" t="s">
        <v>16</v>
      </c>
      <c r="I374" t="s">
        <v>16</v>
      </c>
      <c r="J374" t="s">
        <v>16</v>
      </c>
      <c r="K374" t="s">
        <v>16</v>
      </c>
      <c r="L374" t="s">
        <v>228</v>
      </c>
      <c r="M374" t="str">
        <f t="shared" si="12"/>
        <v>challengedwild</v>
      </c>
      <c r="N374" t="s">
        <v>228</v>
      </c>
      <c r="O374" t="s">
        <v>351</v>
      </c>
      <c r="P374" t="s">
        <v>352</v>
      </c>
      <c r="Q374">
        <v>88.671162280000004</v>
      </c>
    </row>
    <row r="375" spans="1:17" x14ac:dyDescent="0.2">
      <c r="A375" t="s">
        <v>1014</v>
      </c>
      <c r="B375">
        <v>6.7382691999999994E-2</v>
      </c>
      <c r="C375">
        <v>731408491.60000002</v>
      </c>
      <c r="D375">
        <v>43884509.5</v>
      </c>
      <c r="E375">
        <v>8776901899</v>
      </c>
      <c r="F375" t="s">
        <v>33</v>
      </c>
      <c r="G375" t="s">
        <v>41</v>
      </c>
      <c r="H375" t="s">
        <v>16</v>
      </c>
      <c r="I375" t="s">
        <v>16</v>
      </c>
      <c r="J375" t="s">
        <v>16</v>
      </c>
      <c r="K375" t="s">
        <v>16</v>
      </c>
      <c r="L375" t="s">
        <v>228</v>
      </c>
      <c r="M375" t="str">
        <f t="shared" si="12"/>
        <v>challengedwild</v>
      </c>
      <c r="N375" t="s">
        <v>228</v>
      </c>
      <c r="O375" t="s">
        <v>351</v>
      </c>
      <c r="P375" t="s">
        <v>352</v>
      </c>
      <c r="Q375">
        <v>7211382460</v>
      </c>
    </row>
    <row r="376" spans="1:17" x14ac:dyDescent="0.2">
      <c r="A376" t="s">
        <v>357</v>
      </c>
      <c r="B376">
        <v>0.169056021</v>
      </c>
      <c r="C376">
        <v>18619589.989999998</v>
      </c>
      <c r="D376">
        <v>1117175.399</v>
      </c>
      <c r="E376">
        <v>223435079.90000001</v>
      </c>
      <c r="F376" t="s">
        <v>17</v>
      </c>
      <c r="G376" t="s">
        <v>41</v>
      </c>
      <c r="H376" t="s">
        <v>16</v>
      </c>
      <c r="I376" t="s">
        <v>16</v>
      </c>
      <c r="J376" t="s">
        <v>16</v>
      </c>
      <c r="K376" t="s">
        <v>16</v>
      </c>
      <c r="L376" t="s">
        <v>228</v>
      </c>
      <c r="M376" t="str">
        <f t="shared" si="12"/>
        <v>challengedwild</v>
      </c>
      <c r="N376" t="s">
        <v>228</v>
      </c>
      <c r="O376" t="s">
        <v>351</v>
      </c>
      <c r="P376" t="s">
        <v>352</v>
      </c>
      <c r="Q376">
        <v>1117175.399</v>
      </c>
    </row>
    <row r="377" spans="1:17" x14ac:dyDescent="0.2">
      <c r="A377" t="s">
        <v>358</v>
      </c>
      <c r="B377" t="s">
        <v>16</v>
      </c>
      <c r="C377" t="s">
        <v>16</v>
      </c>
      <c r="D377" t="s">
        <v>16</v>
      </c>
      <c r="E377" t="s">
        <v>16</v>
      </c>
      <c r="F377" t="s">
        <v>26</v>
      </c>
      <c r="G377" t="s">
        <v>26</v>
      </c>
      <c r="H377" t="s">
        <v>16</v>
      </c>
      <c r="I377" t="s">
        <v>16</v>
      </c>
      <c r="J377" t="s">
        <v>16</v>
      </c>
      <c r="K377" t="s">
        <v>16</v>
      </c>
      <c r="L377" t="s">
        <v>228</v>
      </c>
      <c r="M377" t="str">
        <f t="shared" si="12"/>
        <v>fecalwild</v>
      </c>
      <c r="N377" t="s">
        <v>228</v>
      </c>
      <c r="O377" t="s">
        <v>351</v>
      </c>
      <c r="P377" t="s">
        <v>359</v>
      </c>
      <c r="Q377" t="s">
        <v>16</v>
      </c>
    </row>
    <row r="378" spans="1:17" x14ac:dyDescent="0.2">
      <c r="A378" t="s">
        <v>360</v>
      </c>
      <c r="B378">
        <v>0.10813492199999999</v>
      </c>
      <c r="C378">
        <v>177.8927204</v>
      </c>
      <c r="D378">
        <v>16.471548179999999</v>
      </c>
      <c r="E378">
        <v>3294.309636</v>
      </c>
      <c r="F378" t="s">
        <v>19</v>
      </c>
      <c r="G378" t="s">
        <v>32</v>
      </c>
      <c r="H378" t="s">
        <v>16</v>
      </c>
      <c r="I378" t="s">
        <v>16</v>
      </c>
      <c r="J378" t="s">
        <v>16</v>
      </c>
      <c r="K378" t="s">
        <v>16</v>
      </c>
      <c r="L378" t="s">
        <v>228</v>
      </c>
      <c r="M378" t="str">
        <f t="shared" si="12"/>
        <v>abx_challengedwild</v>
      </c>
      <c r="N378" t="s">
        <v>228</v>
      </c>
      <c r="O378" t="s">
        <v>351</v>
      </c>
      <c r="P378" t="s">
        <v>359</v>
      </c>
      <c r="Q378">
        <v>16.471548179999999</v>
      </c>
    </row>
    <row r="379" spans="1:17" x14ac:dyDescent="0.2">
      <c r="A379" t="s">
        <v>1015</v>
      </c>
      <c r="B379">
        <v>0.150214703</v>
      </c>
      <c r="C379">
        <v>184550791.59999999</v>
      </c>
      <c r="D379">
        <v>369101.5833</v>
      </c>
      <c r="E379">
        <v>73820316.650000006</v>
      </c>
      <c r="F379" t="s">
        <v>33</v>
      </c>
      <c r="G379" t="s">
        <v>32</v>
      </c>
      <c r="H379" t="s">
        <v>16</v>
      </c>
      <c r="I379" t="s">
        <v>16</v>
      </c>
      <c r="J379" t="s">
        <v>16</v>
      </c>
      <c r="K379" t="s">
        <v>16</v>
      </c>
      <c r="L379" t="s">
        <v>228</v>
      </c>
      <c r="M379" t="str">
        <f t="shared" si="12"/>
        <v>abx_challengedwild</v>
      </c>
      <c r="N379" t="s">
        <v>228</v>
      </c>
      <c r="O379" t="s">
        <v>351</v>
      </c>
      <c r="P379" t="s">
        <v>359</v>
      </c>
      <c r="Q379">
        <v>319250.2255</v>
      </c>
    </row>
    <row r="380" spans="1:17" x14ac:dyDescent="0.2">
      <c r="A380" t="s">
        <v>361</v>
      </c>
      <c r="B380">
        <v>0.19535321999999999</v>
      </c>
      <c r="C380">
        <v>8308559.6229999997</v>
      </c>
      <c r="D380">
        <v>49851.357739999999</v>
      </c>
      <c r="E380">
        <v>9970271.5480000004</v>
      </c>
      <c r="F380" t="s">
        <v>17</v>
      </c>
      <c r="G380" t="s">
        <v>32</v>
      </c>
      <c r="H380" t="s">
        <v>16</v>
      </c>
      <c r="I380" t="s">
        <v>16</v>
      </c>
      <c r="J380" t="s">
        <v>16</v>
      </c>
      <c r="K380" t="s">
        <v>16</v>
      </c>
      <c r="L380" t="s">
        <v>228</v>
      </c>
      <c r="M380" t="str">
        <f t="shared" si="12"/>
        <v>abx_challengedwild</v>
      </c>
      <c r="N380" t="s">
        <v>228</v>
      </c>
      <c r="O380" t="s">
        <v>351</v>
      </c>
      <c r="P380" t="s">
        <v>359</v>
      </c>
      <c r="Q380">
        <v>49851.357739999999</v>
      </c>
    </row>
    <row r="381" spans="1:17" x14ac:dyDescent="0.2">
      <c r="A381" t="s">
        <v>362</v>
      </c>
      <c r="B381" s="1">
        <v>0</v>
      </c>
      <c r="C381" t="s">
        <v>16</v>
      </c>
      <c r="D381">
        <v>0</v>
      </c>
      <c r="E381">
        <v>0</v>
      </c>
      <c r="F381" t="s">
        <v>19</v>
      </c>
      <c r="G381" t="s">
        <v>36</v>
      </c>
      <c r="H381" t="s">
        <v>37</v>
      </c>
      <c r="I381">
        <v>0</v>
      </c>
      <c r="J381" t="s">
        <v>37</v>
      </c>
      <c r="K381">
        <v>3294.309636</v>
      </c>
      <c r="L381" t="s">
        <v>228</v>
      </c>
      <c r="M381" t="str">
        <f t="shared" si="12"/>
        <v>controlwild</v>
      </c>
      <c r="N381" t="s">
        <v>228</v>
      </c>
      <c r="O381" t="s">
        <v>351</v>
      </c>
      <c r="P381" t="s">
        <v>359</v>
      </c>
      <c r="Q381" t="s">
        <v>16</v>
      </c>
    </row>
    <row r="382" spans="1:17" x14ac:dyDescent="0.2">
      <c r="A382" t="s">
        <v>1016</v>
      </c>
      <c r="B382" s="1">
        <v>0</v>
      </c>
      <c r="C382">
        <v>64626592.939999998</v>
      </c>
      <c r="D382">
        <v>387759.5576</v>
      </c>
      <c r="E382">
        <v>77551911.530000001</v>
      </c>
      <c r="F382" t="s">
        <v>33</v>
      </c>
      <c r="G382" t="s">
        <v>36</v>
      </c>
      <c r="H382" t="s">
        <v>38</v>
      </c>
      <c r="I382">
        <v>219302291</v>
      </c>
      <c r="J382" t="s">
        <v>38</v>
      </c>
      <c r="K382">
        <v>73820316.650000006</v>
      </c>
      <c r="L382" t="s">
        <v>228</v>
      </c>
      <c r="M382" t="str">
        <f t="shared" si="12"/>
        <v>controlwild</v>
      </c>
      <c r="N382" t="s">
        <v>228</v>
      </c>
      <c r="O382" t="s">
        <v>351</v>
      </c>
      <c r="P382" t="s">
        <v>359</v>
      </c>
      <c r="Q382" t="s">
        <v>16</v>
      </c>
    </row>
    <row r="383" spans="1:17" x14ac:dyDescent="0.2">
      <c r="A383" t="s">
        <v>363</v>
      </c>
      <c r="B383" s="1">
        <v>0</v>
      </c>
      <c r="C383" t="s">
        <v>16</v>
      </c>
      <c r="D383">
        <v>0</v>
      </c>
      <c r="E383">
        <v>0</v>
      </c>
      <c r="F383" t="s">
        <v>17</v>
      </c>
      <c r="G383" t="s">
        <v>36</v>
      </c>
      <c r="H383" t="s">
        <v>38</v>
      </c>
      <c r="I383">
        <v>204194125.09999999</v>
      </c>
      <c r="J383" t="s">
        <v>38</v>
      </c>
      <c r="K383">
        <v>9970271.5480000004</v>
      </c>
      <c r="L383" t="s">
        <v>228</v>
      </c>
      <c r="M383" t="str">
        <f t="shared" si="12"/>
        <v>controlwild</v>
      </c>
      <c r="N383" t="s">
        <v>228</v>
      </c>
      <c r="O383" t="s">
        <v>351</v>
      </c>
      <c r="P383" t="s">
        <v>359</v>
      </c>
      <c r="Q383" t="s">
        <v>16</v>
      </c>
    </row>
    <row r="384" spans="1:17" x14ac:dyDescent="0.2">
      <c r="A384" t="s">
        <v>364</v>
      </c>
      <c r="B384">
        <v>0.105778308</v>
      </c>
      <c r="C384">
        <v>6.4723454269999996</v>
      </c>
      <c r="D384">
        <v>0</v>
      </c>
      <c r="E384">
        <v>0</v>
      </c>
      <c r="F384" t="s">
        <v>19</v>
      </c>
      <c r="G384" t="s">
        <v>41</v>
      </c>
      <c r="H384" t="s">
        <v>16</v>
      </c>
      <c r="I384" t="s">
        <v>16</v>
      </c>
      <c r="J384" t="s">
        <v>16</v>
      </c>
      <c r="K384" t="s">
        <v>16</v>
      </c>
      <c r="L384" t="s">
        <v>228</v>
      </c>
      <c r="M384" t="str">
        <f t="shared" si="12"/>
        <v>challengedwild</v>
      </c>
      <c r="N384" t="s">
        <v>228</v>
      </c>
      <c r="O384" t="s">
        <v>351</v>
      </c>
      <c r="P384" t="s">
        <v>359</v>
      </c>
      <c r="Q384">
        <v>0</v>
      </c>
    </row>
    <row r="385" spans="1:17" x14ac:dyDescent="0.2">
      <c r="A385" t="s">
        <v>1017</v>
      </c>
      <c r="B385">
        <v>9.6666086999999998E-2</v>
      </c>
      <c r="C385">
        <v>18275190.920000002</v>
      </c>
      <c r="D385">
        <v>1096511.4550000001</v>
      </c>
      <c r="E385">
        <v>219302291</v>
      </c>
      <c r="F385" t="s">
        <v>33</v>
      </c>
      <c r="G385" t="s">
        <v>41</v>
      </c>
      <c r="H385" t="s">
        <v>16</v>
      </c>
      <c r="I385" t="s">
        <v>16</v>
      </c>
      <c r="J385" t="s">
        <v>16</v>
      </c>
      <c r="K385" t="s">
        <v>16</v>
      </c>
      <c r="L385" t="s">
        <v>228</v>
      </c>
      <c r="M385" t="str">
        <f t="shared" si="12"/>
        <v>challengedwild</v>
      </c>
      <c r="N385" t="s">
        <v>228</v>
      </c>
      <c r="O385" t="s">
        <v>351</v>
      </c>
      <c r="P385" t="s">
        <v>359</v>
      </c>
      <c r="Q385">
        <v>141750379.5</v>
      </c>
    </row>
    <row r="386" spans="1:17" x14ac:dyDescent="0.2">
      <c r="A386" t="s">
        <v>365</v>
      </c>
      <c r="B386">
        <v>0.21837505900000001</v>
      </c>
      <c r="C386">
        <v>17016177.100000001</v>
      </c>
      <c r="D386">
        <v>1020970.626</v>
      </c>
      <c r="E386">
        <v>204194125.09999999</v>
      </c>
      <c r="F386" t="s">
        <v>17</v>
      </c>
      <c r="G386" t="s">
        <v>41</v>
      </c>
      <c r="H386" t="s">
        <v>16</v>
      </c>
      <c r="I386" t="s">
        <v>16</v>
      </c>
      <c r="J386" t="s">
        <v>16</v>
      </c>
      <c r="K386" t="s">
        <v>16</v>
      </c>
      <c r="L386" t="s">
        <v>228</v>
      </c>
      <c r="M386" t="str">
        <f t="shared" si="12"/>
        <v>challengedwild</v>
      </c>
      <c r="N386" t="s">
        <v>228</v>
      </c>
      <c r="O386" t="s">
        <v>351</v>
      </c>
      <c r="P386" t="s">
        <v>359</v>
      </c>
      <c r="Q386">
        <v>1020970.626</v>
      </c>
    </row>
    <row r="387" spans="1:17" x14ac:dyDescent="0.2">
      <c r="A387" t="s">
        <v>366</v>
      </c>
      <c r="B387" t="s">
        <v>16</v>
      </c>
      <c r="C387" t="s">
        <v>16</v>
      </c>
      <c r="D387" t="s">
        <v>16</v>
      </c>
      <c r="E387" t="s">
        <v>16</v>
      </c>
      <c r="F387" t="s">
        <v>26</v>
      </c>
      <c r="G387" t="s">
        <v>26</v>
      </c>
      <c r="H387" t="s">
        <v>16</v>
      </c>
      <c r="I387" t="s">
        <v>16</v>
      </c>
      <c r="J387" t="s">
        <v>16</v>
      </c>
      <c r="K387" t="s">
        <v>16</v>
      </c>
      <c r="L387" t="s">
        <v>228</v>
      </c>
      <c r="M387" t="str">
        <f t="shared" si="12"/>
        <v>fecalwild</v>
      </c>
      <c r="N387" t="s">
        <v>228</v>
      </c>
      <c r="O387" t="s">
        <v>351</v>
      </c>
      <c r="P387" t="s">
        <v>913</v>
      </c>
      <c r="Q387" t="s">
        <v>16</v>
      </c>
    </row>
    <row r="388" spans="1:17" x14ac:dyDescent="0.2">
      <c r="A388" t="s">
        <v>367</v>
      </c>
      <c r="B388">
        <v>0.140020863</v>
      </c>
      <c r="C388" t="s">
        <v>16</v>
      </c>
      <c r="D388">
        <v>0</v>
      </c>
      <c r="E388">
        <f>D388*200</f>
        <v>0</v>
      </c>
      <c r="F388" t="s">
        <v>19</v>
      </c>
      <c r="G388" t="s">
        <v>32</v>
      </c>
      <c r="H388" t="s">
        <v>16</v>
      </c>
      <c r="I388" t="s">
        <v>16</v>
      </c>
      <c r="J388" t="s">
        <v>16</v>
      </c>
      <c r="K388" t="s">
        <v>16</v>
      </c>
      <c r="L388" t="s">
        <v>228</v>
      </c>
      <c r="M388" t="str">
        <f t="shared" si="12"/>
        <v>abx_challengedwild</v>
      </c>
      <c r="N388" t="s">
        <v>228</v>
      </c>
      <c r="O388" t="s">
        <v>351</v>
      </c>
      <c r="P388" t="s">
        <v>913</v>
      </c>
      <c r="Q388">
        <v>0</v>
      </c>
    </row>
    <row r="389" spans="1:17" x14ac:dyDescent="0.2">
      <c r="A389" t="s">
        <v>368</v>
      </c>
      <c r="B389">
        <v>0</v>
      </c>
      <c r="C389" t="s">
        <v>16</v>
      </c>
      <c r="D389">
        <v>0</v>
      </c>
      <c r="E389">
        <f t="shared" ref="E389:E393" si="15">D389*200</f>
        <v>0</v>
      </c>
      <c r="F389" t="s">
        <v>19</v>
      </c>
      <c r="G389" t="s">
        <v>36</v>
      </c>
      <c r="H389" t="s">
        <v>37</v>
      </c>
      <c r="I389">
        <v>0</v>
      </c>
      <c r="J389" t="s">
        <v>37</v>
      </c>
      <c r="K389">
        <v>0</v>
      </c>
      <c r="L389" t="s">
        <v>228</v>
      </c>
      <c r="M389" t="str">
        <f t="shared" si="12"/>
        <v>controlwild</v>
      </c>
      <c r="N389" t="s">
        <v>228</v>
      </c>
      <c r="O389" t="s">
        <v>351</v>
      </c>
      <c r="P389" t="s">
        <v>913</v>
      </c>
      <c r="Q389" t="s">
        <v>16</v>
      </c>
    </row>
    <row r="390" spans="1:17" x14ac:dyDescent="0.2">
      <c r="A390" t="s">
        <v>369</v>
      </c>
      <c r="B390">
        <v>7.6989861000000007E-2</v>
      </c>
      <c r="C390" t="s">
        <v>16</v>
      </c>
      <c r="D390">
        <v>0</v>
      </c>
      <c r="E390">
        <f t="shared" si="15"/>
        <v>0</v>
      </c>
      <c r="F390" t="s">
        <v>19</v>
      </c>
      <c r="G390" t="s">
        <v>41</v>
      </c>
      <c r="H390" t="s">
        <v>16</v>
      </c>
      <c r="I390" t="s">
        <v>16</v>
      </c>
      <c r="J390" t="s">
        <v>16</v>
      </c>
      <c r="K390" t="s">
        <v>16</v>
      </c>
      <c r="L390" t="s">
        <v>228</v>
      </c>
      <c r="M390" t="str">
        <f t="shared" si="12"/>
        <v>challengedwild</v>
      </c>
      <c r="N390" t="s">
        <v>228</v>
      </c>
      <c r="O390" t="s">
        <v>351</v>
      </c>
      <c r="P390" t="s">
        <v>913</v>
      </c>
      <c r="Q390">
        <v>0</v>
      </c>
    </row>
    <row r="391" spans="1:17" x14ac:dyDescent="0.2">
      <c r="A391" t="s">
        <v>370</v>
      </c>
      <c r="B391">
        <v>0.11276636800000001</v>
      </c>
      <c r="C391">
        <v>5.2156850492090099</v>
      </c>
      <c r="D391">
        <v>0.48293380085268611</v>
      </c>
      <c r="E391">
        <f t="shared" si="15"/>
        <v>96.586760170537218</v>
      </c>
      <c r="F391" t="s">
        <v>19</v>
      </c>
      <c r="G391" t="s">
        <v>32</v>
      </c>
      <c r="H391" t="s">
        <v>16</v>
      </c>
      <c r="I391" t="s">
        <v>16</v>
      </c>
      <c r="J391" t="s">
        <v>16</v>
      </c>
      <c r="K391" t="s">
        <v>16</v>
      </c>
      <c r="L391" t="s">
        <v>228</v>
      </c>
      <c r="M391" t="str">
        <f t="shared" si="12"/>
        <v>abx_challengedwild</v>
      </c>
      <c r="N391" t="s">
        <v>228</v>
      </c>
      <c r="O391" t="s">
        <v>351</v>
      </c>
      <c r="P391" t="s">
        <v>914</v>
      </c>
      <c r="Q391">
        <f>E391-E392</f>
        <v>44.597362721002661</v>
      </c>
    </row>
    <row r="392" spans="1:17" x14ac:dyDescent="0.2">
      <c r="A392" t="s">
        <v>371</v>
      </c>
      <c r="B392">
        <v>0</v>
      </c>
      <c r="C392">
        <v>2.8074274622748665</v>
      </c>
      <c r="D392">
        <v>0.25994698724767279</v>
      </c>
      <c r="E392">
        <f t="shared" si="15"/>
        <v>51.989397449534557</v>
      </c>
      <c r="F392" t="s">
        <v>19</v>
      </c>
      <c r="G392" t="s">
        <v>36</v>
      </c>
      <c r="H392" t="s">
        <v>37</v>
      </c>
      <c r="I392">
        <f>E393</f>
        <v>12.414727871436639</v>
      </c>
      <c r="J392" t="s">
        <v>37</v>
      </c>
      <c r="K392">
        <f>E391</f>
        <v>96.586760170537218</v>
      </c>
      <c r="L392" t="s">
        <v>228</v>
      </c>
      <c r="M392" t="str">
        <f t="shared" si="12"/>
        <v>controlwild</v>
      </c>
      <c r="N392" t="s">
        <v>228</v>
      </c>
      <c r="O392" t="s">
        <v>351</v>
      </c>
      <c r="P392" t="s">
        <v>914</v>
      </c>
      <c r="Q392" t="s">
        <v>16</v>
      </c>
    </row>
    <row r="393" spans="1:17" x14ac:dyDescent="0.2">
      <c r="A393" t="s">
        <v>372</v>
      </c>
      <c r="B393">
        <v>7.3590392000000004E-2</v>
      </c>
      <c r="C393">
        <v>0.67039530505757849</v>
      </c>
      <c r="D393">
        <v>6.20736393571832E-2</v>
      </c>
      <c r="E393">
        <f t="shared" si="15"/>
        <v>12.414727871436639</v>
      </c>
      <c r="F393" t="s">
        <v>19</v>
      </c>
      <c r="G393" t="s">
        <v>41</v>
      </c>
      <c r="H393" t="s">
        <v>16</v>
      </c>
      <c r="I393" t="s">
        <v>16</v>
      </c>
      <c r="J393" t="s">
        <v>16</v>
      </c>
      <c r="K393" t="s">
        <v>16</v>
      </c>
      <c r="L393" t="s">
        <v>228</v>
      </c>
      <c r="M393" t="str">
        <f t="shared" si="12"/>
        <v>challengedwild</v>
      </c>
      <c r="N393" t="s">
        <v>228</v>
      </c>
      <c r="O393" t="s">
        <v>351</v>
      </c>
      <c r="P393" t="s">
        <v>914</v>
      </c>
      <c r="Q393">
        <f>E393-E392</f>
        <v>-39.574669578097918</v>
      </c>
    </row>
    <row r="394" spans="1:17" x14ac:dyDescent="0.2">
      <c r="A394" t="s">
        <v>373</v>
      </c>
      <c r="B394" t="s">
        <v>16</v>
      </c>
      <c r="C394" t="s">
        <v>16</v>
      </c>
      <c r="D394" t="s">
        <v>16</v>
      </c>
      <c r="E394" t="s">
        <v>16</v>
      </c>
      <c r="F394" t="s">
        <v>26</v>
      </c>
      <c r="G394" t="s">
        <v>26</v>
      </c>
      <c r="H394" t="s">
        <v>16</v>
      </c>
      <c r="I394" t="s">
        <v>16</v>
      </c>
      <c r="J394" t="s">
        <v>16</v>
      </c>
      <c r="K394" t="s">
        <v>16</v>
      </c>
      <c r="L394" t="s">
        <v>228</v>
      </c>
      <c r="M394" t="str">
        <f t="shared" ref="M394:M457" si="16">CONCATENATE(G394, L394)</f>
        <v>fecalwild</v>
      </c>
      <c r="N394" t="s">
        <v>228</v>
      </c>
      <c r="O394" t="s">
        <v>351</v>
      </c>
      <c r="P394" t="s">
        <v>374</v>
      </c>
      <c r="Q394" t="s">
        <v>16</v>
      </c>
    </row>
    <row r="395" spans="1:17" x14ac:dyDescent="0.2">
      <c r="A395" t="s">
        <v>375</v>
      </c>
      <c r="B395">
        <v>0.134038984</v>
      </c>
      <c r="C395">
        <v>162.79283090000001</v>
      </c>
      <c r="D395">
        <v>15.07341027</v>
      </c>
      <c r="E395">
        <v>3014.682053</v>
      </c>
      <c r="F395" t="s">
        <v>19</v>
      </c>
      <c r="G395" t="s">
        <v>32</v>
      </c>
      <c r="H395" t="s">
        <v>16</v>
      </c>
      <c r="I395" t="s">
        <v>16</v>
      </c>
      <c r="J395" t="s">
        <v>16</v>
      </c>
      <c r="K395" t="s">
        <v>16</v>
      </c>
      <c r="L395" t="s">
        <v>228</v>
      </c>
      <c r="M395" t="str">
        <f t="shared" si="16"/>
        <v>abx_challengedwild</v>
      </c>
      <c r="N395" t="s">
        <v>228</v>
      </c>
      <c r="O395" t="s">
        <v>351</v>
      </c>
      <c r="P395" t="s">
        <v>374</v>
      </c>
      <c r="Q395">
        <v>15.07341027</v>
      </c>
    </row>
    <row r="396" spans="1:17" x14ac:dyDescent="0.2">
      <c r="A396" t="s">
        <v>1018</v>
      </c>
      <c r="B396">
        <v>0.19096703100000001</v>
      </c>
      <c r="C396">
        <v>133345619.40000001</v>
      </c>
      <c r="D396">
        <v>266691.23869999999</v>
      </c>
      <c r="E396">
        <v>53338247.75</v>
      </c>
      <c r="F396" t="s">
        <v>33</v>
      </c>
      <c r="G396" t="s">
        <v>32</v>
      </c>
      <c r="H396" t="s">
        <v>16</v>
      </c>
      <c r="I396" t="s">
        <v>16</v>
      </c>
      <c r="J396" t="s">
        <v>16</v>
      </c>
      <c r="K396" t="s">
        <v>16</v>
      </c>
      <c r="L396" t="s">
        <v>228</v>
      </c>
      <c r="M396" t="str">
        <f t="shared" si="16"/>
        <v>abx_challengedwild</v>
      </c>
      <c r="N396" t="s">
        <v>228</v>
      </c>
      <c r="O396" t="s">
        <v>351</v>
      </c>
      <c r="P396" t="s">
        <v>374</v>
      </c>
      <c r="Q396">
        <v>227551.5116</v>
      </c>
    </row>
    <row r="397" spans="1:17" x14ac:dyDescent="0.2">
      <c r="A397" t="s">
        <v>376</v>
      </c>
      <c r="B397">
        <v>0.22288465900000001</v>
      </c>
      <c r="C397">
        <v>6523287.8569999998</v>
      </c>
      <c r="D397">
        <v>39139.727140000003</v>
      </c>
      <c r="E397">
        <v>7827945.4280000003</v>
      </c>
      <c r="F397" t="s">
        <v>17</v>
      </c>
      <c r="G397" t="s">
        <v>32</v>
      </c>
      <c r="H397" t="s">
        <v>16</v>
      </c>
      <c r="I397" t="s">
        <v>16</v>
      </c>
      <c r="J397" t="s">
        <v>16</v>
      </c>
      <c r="K397" t="s">
        <v>16</v>
      </c>
      <c r="L397" t="s">
        <v>228</v>
      </c>
      <c r="M397" t="str">
        <f t="shared" si="16"/>
        <v>abx_challengedwild</v>
      </c>
      <c r="N397" t="s">
        <v>228</v>
      </c>
      <c r="O397" t="s">
        <v>351</v>
      </c>
      <c r="P397" t="s">
        <v>374</v>
      </c>
      <c r="Q397">
        <v>39139.727140000003</v>
      </c>
    </row>
    <row r="398" spans="1:17" x14ac:dyDescent="0.2">
      <c r="A398" t="s">
        <v>377</v>
      </c>
      <c r="B398" s="1">
        <v>0</v>
      </c>
      <c r="C398" t="s">
        <v>16</v>
      </c>
      <c r="D398">
        <v>0</v>
      </c>
      <c r="E398">
        <v>0</v>
      </c>
      <c r="F398" t="s">
        <v>19</v>
      </c>
      <c r="G398" t="s">
        <v>36</v>
      </c>
      <c r="H398" t="s">
        <v>37</v>
      </c>
      <c r="I398">
        <v>0</v>
      </c>
      <c r="J398" t="s">
        <v>37</v>
      </c>
      <c r="K398">
        <v>3014.682053</v>
      </c>
      <c r="L398" t="s">
        <v>228</v>
      </c>
      <c r="M398" t="str">
        <f t="shared" si="16"/>
        <v>controlwild</v>
      </c>
      <c r="N398" t="s">
        <v>228</v>
      </c>
      <c r="O398" t="s">
        <v>351</v>
      </c>
      <c r="P398" t="s">
        <v>374</v>
      </c>
      <c r="Q398" t="s">
        <v>16</v>
      </c>
    </row>
    <row r="399" spans="1:17" x14ac:dyDescent="0.2">
      <c r="A399" t="s">
        <v>1019</v>
      </c>
      <c r="B399" s="1">
        <v>0</v>
      </c>
      <c r="C399">
        <v>34218808.020000003</v>
      </c>
      <c r="D399">
        <v>205312.8481</v>
      </c>
      <c r="E399">
        <v>41062569.630000003</v>
      </c>
      <c r="F399" t="s">
        <v>33</v>
      </c>
      <c r="G399" t="s">
        <v>36</v>
      </c>
      <c r="H399" t="s">
        <v>38</v>
      </c>
      <c r="I399">
        <v>3526782344</v>
      </c>
      <c r="J399" t="s">
        <v>38</v>
      </c>
      <c r="K399">
        <v>53338247.75</v>
      </c>
      <c r="L399" t="s">
        <v>228</v>
      </c>
      <c r="M399" t="str">
        <f t="shared" si="16"/>
        <v>controlwild</v>
      </c>
      <c r="N399" t="s">
        <v>228</v>
      </c>
      <c r="O399" t="s">
        <v>351</v>
      </c>
      <c r="P399" t="s">
        <v>374</v>
      </c>
      <c r="Q399" t="s">
        <v>16</v>
      </c>
    </row>
    <row r="400" spans="1:17" x14ac:dyDescent="0.2">
      <c r="A400" t="s">
        <v>378</v>
      </c>
      <c r="B400" s="1">
        <v>0</v>
      </c>
      <c r="C400" t="s">
        <v>16</v>
      </c>
      <c r="D400">
        <v>0</v>
      </c>
      <c r="E400">
        <v>0</v>
      </c>
      <c r="F400" t="s">
        <v>17</v>
      </c>
      <c r="G400" t="s">
        <v>36</v>
      </c>
      <c r="H400" t="s">
        <v>38</v>
      </c>
      <c r="I400">
        <v>342712608.89999998</v>
      </c>
      <c r="J400" t="s">
        <v>38</v>
      </c>
      <c r="K400">
        <v>7827945.4280000003</v>
      </c>
      <c r="L400" t="s">
        <v>228</v>
      </c>
      <c r="M400" t="str">
        <f t="shared" si="16"/>
        <v>controlwild</v>
      </c>
      <c r="N400" t="s">
        <v>228</v>
      </c>
      <c r="O400" t="s">
        <v>351</v>
      </c>
      <c r="P400" t="s">
        <v>374</v>
      </c>
      <c r="Q400" t="s">
        <v>16</v>
      </c>
    </row>
    <row r="401" spans="1:17" x14ac:dyDescent="0.2">
      <c r="A401" t="s">
        <v>379</v>
      </c>
      <c r="B401">
        <v>6.8434062000000004E-2</v>
      </c>
      <c r="C401">
        <v>13.973318109999999</v>
      </c>
      <c r="D401">
        <v>0</v>
      </c>
      <c r="E401">
        <v>0</v>
      </c>
      <c r="F401" t="s">
        <v>19</v>
      </c>
      <c r="G401" t="s">
        <v>41</v>
      </c>
      <c r="H401" t="s">
        <v>16</v>
      </c>
      <c r="I401" t="s">
        <v>16</v>
      </c>
      <c r="J401" t="s">
        <v>16</v>
      </c>
      <c r="K401" t="s">
        <v>16</v>
      </c>
      <c r="L401" t="s">
        <v>228</v>
      </c>
      <c r="M401" t="str">
        <f t="shared" si="16"/>
        <v>challengedwild</v>
      </c>
      <c r="N401" t="s">
        <v>228</v>
      </c>
      <c r="O401" t="s">
        <v>351</v>
      </c>
      <c r="P401" t="s">
        <v>374</v>
      </c>
      <c r="Q401">
        <v>0</v>
      </c>
    </row>
    <row r="402" spans="1:17" x14ac:dyDescent="0.2">
      <c r="A402" t="s">
        <v>1020</v>
      </c>
      <c r="B402">
        <v>0.316061961</v>
      </c>
      <c r="C402">
        <v>293898528.69999999</v>
      </c>
      <c r="D402">
        <v>17633911.719999999</v>
      </c>
      <c r="E402">
        <v>3526782344</v>
      </c>
      <c r="F402" t="s">
        <v>33</v>
      </c>
      <c r="G402" t="s">
        <v>41</v>
      </c>
      <c r="H402" t="s">
        <v>16</v>
      </c>
      <c r="I402" t="s">
        <v>16</v>
      </c>
      <c r="J402" t="s">
        <v>16</v>
      </c>
      <c r="K402" t="s">
        <v>16</v>
      </c>
      <c r="L402" t="s">
        <v>228</v>
      </c>
      <c r="M402" t="str">
        <f t="shared" si="16"/>
        <v>challengedwild</v>
      </c>
      <c r="N402" t="s">
        <v>228</v>
      </c>
      <c r="O402" t="s">
        <v>351</v>
      </c>
      <c r="P402" t="s">
        <v>374</v>
      </c>
      <c r="Q402">
        <v>3485719775</v>
      </c>
    </row>
    <row r="403" spans="1:17" x14ac:dyDescent="0.2">
      <c r="A403" t="s">
        <v>380</v>
      </c>
      <c r="B403">
        <v>0.25366792399999999</v>
      </c>
      <c r="C403">
        <v>28559384.07</v>
      </c>
      <c r="D403">
        <v>1713563.044</v>
      </c>
      <c r="E403">
        <v>342712608.89999998</v>
      </c>
      <c r="F403" t="s">
        <v>17</v>
      </c>
      <c r="G403" t="s">
        <v>41</v>
      </c>
      <c r="H403" t="s">
        <v>16</v>
      </c>
      <c r="I403" t="s">
        <v>16</v>
      </c>
      <c r="J403" t="s">
        <v>16</v>
      </c>
      <c r="K403" t="s">
        <v>16</v>
      </c>
      <c r="L403" t="s">
        <v>228</v>
      </c>
      <c r="M403" t="str">
        <f t="shared" si="16"/>
        <v>challengedwild</v>
      </c>
      <c r="N403" t="s">
        <v>228</v>
      </c>
      <c r="O403" t="s">
        <v>351</v>
      </c>
      <c r="P403" t="s">
        <v>374</v>
      </c>
      <c r="Q403">
        <v>1713563.044</v>
      </c>
    </row>
    <row r="404" spans="1:17" x14ac:dyDescent="0.2">
      <c r="A404" t="s">
        <v>381</v>
      </c>
      <c r="B404" t="s">
        <v>16</v>
      </c>
      <c r="C404" t="s">
        <v>16</v>
      </c>
      <c r="D404" t="s">
        <v>16</v>
      </c>
      <c r="E404" t="s">
        <v>16</v>
      </c>
      <c r="F404" t="s">
        <v>26</v>
      </c>
      <c r="G404" t="s">
        <v>26</v>
      </c>
      <c r="H404" t="s">
        <v>16</v>
      </c>
      <c r="I404" t="s">
        <v>16</v>
      </c>
      <c r="J404" t="s">
        <v>16</v>
      </c>
      <c r="K404" t="s">
        <v>16</v>
      </c>
      <c r="L404" t="s">
        <v>228</v>
      </c>
      <c r="M404" t="str">
        <f t="shared" si="16"/>
        <v>fecalwild</v>
      </c>
      <c r="N404" t="s">
        <v>228</v>
      </c>
      <c r="O404" t="s">
        <v>351</v>
      </c>
      <c r="P404" t="s">
        <v>382</v>
      </c>
      <c r="Q404" t="s">
        <v>16</v>
      </c>
    </row>
    <row r="405" spans="1:17" x14ac:dyDescent="0.2">
      <c r="A405" t="s">
        <v>383</v>
      </c>
      <c r="B405">
        <v>0.108204338</v>
      </c>
      <c r="C405">
        <v>3259.1097526944764</v>
      </c>
      <c r="D405">
        <v>301.76942154578489</v>
      </c>
      <c r="E405">
        <f>D405*200</f>
        <v>60353.88430915698</v>
      </c>
      <c r="F405" t="s">
        <v>19</v>
      </c>
      <c r="G405" t="s">
        <v>32</v>
      </c>
      <c r="H405" t="s">
        <v>16</v>
      </c>
      <c r="I405" t="s">
        <v>16</v>
      </c>
      <c r="J405" t="s">
        <v>16</v>
      </c>
      <c r="K405" t="s">
        <v>16</v>
      </c>
      <c r="L405" t="s">
        <v>228</v>
      </c>
      <c r="M405" t="str">
        <f t="shared" si="16"/>
        <v>abx_challengedwild</v>
      </c>
      <c r="N405" t="s">
        <v>228</v>
      </c>
      <c r="O405" t="s">
        <v>351</v>
      </c>
      <c r="P405" t="s">
        <v>382</v>
      </c>
      <c r="Q405">
        <f>E405-E406</f>
        <v>60026.282285688103</v>
      </c>
    </row>
    <row r="406" spans="1:17" x14ac:dyDescent="0.2">
      <c r="A406" t="s">
        <v>384</v>
      </c>
      <c r="B406">
        <v>0</v>
      </c>
      <c r="C406">
        <v>17.690509267319431</v>
      </c>
      <c r="D406">
        <v>1.6380101173443917</v>
      </c>
      <c r="E406">
        <f t="shared" ref="E406:E407" si="17">D406*200</f>
        <v>327.60202346887837</v>
      </c>
      <c r="F406" t="s">
        <v>19</v>
      </c>
      <c r="G406" t="s">
        <v>36</v>
      </c>
      <c r="H406" t="s">
        <v>37</v>
      </c>
      <c r="I406">
        <v>534.48909179999998</v>
      </c>
      <c r="J406" t="s">
        <v>37</v>
      </c>
      <c r="K406">
        <v>60353.884310000001</v>
      </c>
      <c r="L406" t="s">
        <v>228</v>
      </c>
      <c r="M406" t="str">
        <f t="shared" si="16"/>
        <v>controlwild</v>
      </c>
      <c r="N406" t="s">
        <v>228</v>
      </c>
      <c r="O406" t="s">
        <v>351</v>
      </c>
      <c r="P406" t="s">
        <v>382</v>
      </c>
      <c r="Q406" t="s">
        <v>16</v>
      </c>
    </row>
    <row r="407" spans="1:17" x14ac:dyDescent="0.2">
      <c r="A407" t="s">
        <v>385</v>
      </c>
      <c r="B407">
        <v>7.2167667000000005E-2</v>
      </c>
      <c r="C407">
        <v>28.8624109585068</v>
      </c>
      <c r="D407">
        <v>2.6724454591209996</v>
      </c>
      <c r="E407">
        <f t="shared" si="17"/>
        <v>534.48909182419993</v>
      </c>
      <c r="F407" t="s">
        <v>19</v>
      </c>
      <c r="G407" t="s">
        <v>41</v>
      </c>
      <c r="H407" t="s">
        <v>16</v>
      </c>
      <c r="I407" t="s">
        <v>16</v>
      </c>
      <c r="J407" t="s">
        <v>16</v>
      </c>
      <c r="K407" t="s">
        <v>16</v>
      </c>
      <c r="L407" t="s">
        <v>228</v>
      </c>
      <c r="M407" t="str">
        <f t="shared" si="16"/>
        <v>challengedwild</v>
      </c>
      <c r="N407" t="s">
        <v>228</v>
      </c>
      <c r="O407" t="s">
        <v>351</v>
      </c>
      <c r="P407" t="s">
        <v>382</v>
      </c>
      <c r="Q407">
        <f>E407-E406</f>
        <v>206.88706835532156</v>
      </c>
    </row>
    <row r="408" spans="1:17" x14ac:dyDescent="0.2">
      <c r="A408" t="s">
        <v>386</v>
      </c>
      <c r="B408" t="s">
        <v>16</v>
      </c>
      <c r="C408" t="s">
        <v>16</v>
      </c>
      <c r="D408" t="s">
        <v>16</v>
      </c>
      <c r="E408" t="s">
        <v>16</v>
      </c>
      <c r="F408" t="s">
        <v>26</v>
      </c>
      <c r="G408" t="s">
        <v>26</v>
      </c>
      <c r="H408" t="s">
        <v>16</v>
      </c>
      <c r="I408" t="s">
        <v>16</v>
      </c>
      <c r="J408" t="s">
        <v>16</v>
      </c>
      <c r="K408" t="s">
        <v>16</v>
      </c>
      <c r="L408" t="s">
        <v>228</v>
      </c>
      <c r="M408" t="str">
        <f t="shared" si="16"/>
        <v>fecalwild</v>
      </c>
      <c r="N408" t="s">
        <v>228</v>
      </c>
      <c r="O408" t="s">
        <v>351</v>
      </c>
      <c r="P408" t="s">
        <v>387</v>
      </c>
      <c r="Q408" t="s">
        <v>16</v>
      </c>
    </row>
    <row r="409" spans="1:17" x14ac:dyDescent="0.2">
      <c r="A409" t="s">
        <v>388</v>
      </c>
      <c r="B409">
        <v>9.1011548999999997E-2</v>
      </c>
      <c r="C409">
        <v>5.9908267630000003</v>
      </c>
      <c r="D409">
        <v>0</v>
      </c>
      <c r="E409">
        <v>0</v>
      </c>
      <c r="F409" t="s">
        <v>19</v>
      </c>
      <c r="G409" t="s">
        <v>32</v>
      </c>
      <c r="H409" t="s">
        <v>16</v>
      </c>
      <c r="I409" t="s">
        <v>16</v>
      </c>
      <c r="J409" t="s">
        <v>16</v>
      </c>
      <c r="K409" t="s">
        <v>16</v>
      </c>
      <c r="L409" t="s">
        <v>228</v>
      </c>
      <c r="M409" t="str">
        <f t="shared" si="16"/>
        <v>abx_challengedwild</v>
      </c>
      <c r="N409" t="s">
        <v>228</v>
      </c>
      <c r="O409" t="s">
        <v>351</v>
      </c>
      <c r="P409" t="s">
        <v>387</v>
      </c>
      <c r="Q409">
        <v>0</v>
      </c>
    </row>
    <row r="410" spans="1:17" x14ac:dyDescent="0.2">
      <c r="A410" t="s">
        <v>1021</v>
      </c>
      <c r="B410">
        <v>0.14212530700000001</v>
      </c>
      <c r="C410">
        <v>185364796.5</v>
      </c>
      <c r="D410">
        <v>370729.59289999999</v>
      </c>
      <c r="E410">
        <v>74145918.590000004</v>
      </c>
      <c r="F410" t="s">
        <v>33</v>
      </c>
      <c r="G410" t="s">
        <v>32</v>
      </c>
      <c r="H410" t="s">
        <v>16</v>
      </c>
      <c r="I410" t="s">
        <v>16</v>
      </c>
      <c r="J410" t="s">
        <v>16</v>
      </c>
      <c r="K410" t="s">
        <v>16</v>
      </c>
      <c r="L410" t="s">
        <v>228</v>
      </c>
      <c r="M410" t="str">
        <f t="shared" si="16"/>
        <v>abx_challengedwild</v>
      </c>
      <c r="N410" t="s">
        <v>228</v>
      </c>
      <c r="O410" t="s">
        <v>351</v>
      </c>
      <c r="P410" t="s">
        <v>387</v>
      </c>
      <c r="Q410">
        <v>370729.59289999999</v>
      </c>
    </row>
    <row r="411" spans="1:17" x14ac:dyDescent="0.2">
      <c r="A411" t="s">
        <v>389</v>
      </c>
      <c r="B411">
        <v>0.21871254600000001</v>
      </c>
      <c r="C411">
        <v>3558366.6340000001</v>
      </c>
      <c r="D411">
        <v>21350.199799999999</v>
      </c>
      <c r="E411">
        <v>4270039.9610000001</v>
      </c>
      <c r="F411" t="s">
        <v>17</v>
      </c>
      <c r="G411" t="s">
        <v>32</v>
      </c>
      <c r="H411" t="s">
        <v>16</v>
      </c>
      <c r="I411" t="s">
        <v>16</v>
      </c>
      <c r="J411" t="s">
        <v>16</v>
      </c>
      <c r="K411" t="s">
        <v>16</v>
      </c>
      <c r="L411" t="s">
        <v>228</v>
      </c>
      <c r="M411" t="str">
        <f t="shared" si="16"/>
        <v>abx_challengedwild</v>
      </c>
      <c r="N411" t="s">
        <v>228</v>
      </c>
      <c r="O411" t="s">
        <v>351</v>
      </c>
      <c r="P411" t="s">
        <v>387</v>
      </c>
      <c r="Q411">
        <v>21350.199799999999</v>
      </c>
    </row>
    <row r="412" spans="1:17" x14ac:dyDescent="0.2">
      <c r="A412" t="s">
        <v>390</v>
      </c>
      <c r="B412" s="1">
        <v>0</v>
      </c>
      <c r="C412" t="s">
        <v>16</v>
      </c>
      <c r="D412">
        <v>0</v>
      </c>
      <c r="E412">
        <v>0</v>
      </c>
      <c r="F412" t="s">
        <v>19</v>
      </c>
      <c r="G412" t="s">
        <v>36</v>
      </c>
      <c r="H412" t="s">
        <v>37</v>
      </c>
      <c r="I412">
        <v>0</v>
      </c>
      <c r="J412" t="s">
        <v>37</v>
      </c>
      <c r="K412">
        <v>0</v>
      </c>
      <c r="L412" t="s">
        <v>228</v>
      </c>
      <c r="M412" t="str">
        <f t="shared" si="16"/>
        <v>controlwild</v>
      </c>
      <c r="N412" t="s">
        <v>228</v>
      </c>
      <c r="O412" t="s">
        <v>351</v>
      </c>
      <c r="P412" t="s">
        <v>387</v>
      </c>
      <c r="Q412" t="s">
        <v>16</v>
      </c>
    </row>
    <row r="413" spans="1:17" x14ac:dyDescent="0.2">
      <c r="A413" t="s">
        <v>1022</v>
      </c>
      <c r="B413" s="1">
        <v>0</v>
      </c>
      <c r="C413">
        <v>804524945</v>
      </c>
      <c r="D413">
        <v>4827149.67</v>
      </c>
      <c r="E413">
        <v>965429934</v>
      </c>
      <c r="F413" t="s">
        <v>33</v>
      </c>
      <c r="G413" t="s">
        <v>36</v>
      </c>
      <c r="H413" t="s">
        <v>38</v>
      </c>
      <c r="I413">
        <v>797509254.10000002</v>
      </c>
      <c r="J413" t="s">
        <v>38</v>
      </c>
      <c r="K413">
        <v>74145918.590000004</v>
      </c>
      <c r="L413" t="s">
        <v>228</v>
      </c>
      <c r="M413" t="str">
        <f t="shared" si="16"/>
        <v>controlwild</v>
      </c>
      <c r="N413" t="s">
        <v>228</v>
      </c>
      <c r="O413" t="s">
        <v>351</v>
      </c>
      <c r="P413" t="s">
        <v>387</v>
      </c>
      <c r="Q413" t="s">
        <v>16</v>
      </c>
    </row>
    <row r="414" spans="1:17" x14ac:dyDescent="0.2">
      <c r="A414" t="s">
        <v>391</v>
      </c>
      <c r="B414" s="1">
        <v>0</v>
      </c>
      <c r="C414" t="s">
        <v>16</v>
      </c>
      <c r="D414">
        <v>0</v>
      </c>
      <c r="E414">
        <v>0</v>
      </c>
      <c r="F414" t="s">
        <v>17</v>
      </c>
      <c r="G414" t="s">
        <v>36</v>
      </c>
      <c r="H414" t="s">
        <v>38</v>
      </c>
      <c r="I414">
        <v>583564338.29999995</v>
      </c>
      <c r="J414" t="s">
        <v>38</v>
      </c>
      <c r="K414">
        <v>4270039.9610000001</v>
      </c>
      <c r="L414" t="s">
        <v>228</v>
      </c>
      <c r="M414" t="str">
        <f t="shared" si="16"/>
        <v>controlwild</v>
      </c>
      <c r="N414" t="s">
        <v>228</v>
      </c>
      <c r="O414" t="s">
        <v>351</v>
      </c>
      <c r="P414" t="s">
        <v>387</v>
      </c>
      <c r="Q414" t="s">
        <v>16</v>
      </c>
    </row>
    <row r="415" spans="1:17" x14ac:dyDescent="0.2">
      <c r="A415" t="s">
        <v>392</v>
      </c>
      <c r="B415">
        <v>7.7401860000000003E-2</v>
      </c>
      <c r="C415">
        <v>1.85424375</v>
      </c>
      <c r="D415">
        <v>0</v>
      </c>
      <c r="E415">
        <v>0</v>
      </c>
      <c r="F415" t="s">
        <v>19</v>
      </c>
      <c r="G415" t="s">
        <v>41</v>
      </c>
      <c r="H415" t="s">
        <v>16</v>
      </c>
      <c r="I415" t="s">
        <v>16</v>
      </c>
      <c r="J415" t="s">
        <v>16</v>
      </c>
      <c r="K415" t="s">
        <v>16</v>
      </c>
      <c r="L415" t="s">
        <v>228</v>
      </c>
      <c r="M415" t="str">
        <f t="shared" si="16"/>
        <v>challengedwild</v>
      </c>
      <c r="N415" t="s">
        <v>228</v>
      </c>
      <c r="O415" t="s">
        <v>351</v>
      </c>
      <c r="P415" t="s">
        <v>387</v>
      </c>
      <c r="Q415">
        <v>0</v>
      </c>
    </row>
    <row r="416" spans="1:17" x14ac:dyDescent="0.2">
      <c r="A416" t="s">
        <v>1023</v>
      </c>
      <c r="B416">
        <v>0.150451627</v>
      </c>
      <c r="C416">
        <v>66459104.509999998</v>
      </c>
      <c r="D416">
        <v>3987546.2710000002</v>
      </c>
      <c r="E416">
        <v>797509254.10000002</v>
      </c>
      <c r="F416" t="s">
        <v>33</v>
      </c>
      <c r="G416" t="s">
        <v>41</v>
      </c>
      <c r="H416" t="s">
        <v>16</v>
      </c>
      <c r="I416" t="s">
        <v>16</v>
      </c>
      <c r="J416" t="s">
        <v>16</v>
      </c>
      <c r="K416" t="s">
        <v>16</v>
      </c>
      <c r="L416" t="s">
        <v>228</v>
      </c>
      <c r="M416" t="str">
        <f t="shared" si="16"/>
        <v>challengedwild</v>
      </c>
      <c r="N416" t="s">
        <v>228</v>
      </c>
      <c r="O416" t="s">
        <v>351</v>
      </c>
      <c r="P416" t="s">
        <v>387</v>
      </c>
      <c r="Q416">
        <v>1069724.5789999999</v>
      </c>
    </row>
    <row r="417" spans="1:17" x14ac:dyDescent="0.2">
      <c r="A417" t="s">
        <v>393</v>
      </c>
      <c r="B417">
        <v>0.27238162399999999</v>
      </c>
      <c r="C417">
        <v>48630361.520000003</v>
      </c>
      <c r="D417">
        <v>2917821.6910000001</v>
      </c>
      <c r="E417">
        <v>583564338.29999995</v>
      </c>
      <c r="F417" t="s">
        <v>17</v>
      </c>
      <c r="G417" t="s">
        <v>41</v>
      </c>
      <c r="H417" t="s">
        <v>16</v>
      </c>
      <c r="I417" t="s">
        <v>16</v>
      </c>
      <c r="J417" t="s">
        <v>16</v>
      </c>
      <c r="K417" t="s">
        <v>16</v>
      </c>
      <c r="L417" t="s">
        <v>228</v>
      </c>
      <c r="M417" t="str">
        <f t="shared" si="16"/>
        <v>challengedwild</v>
      </c>
      <c r="N417" t="s">
        <v>228</v>
      </c>
      <c r="O417" t="s">
        <v>351</v>
      </c>
      <c r="P417" t="s">
        <v>387</v>
      </c>
      <c r="Q417">
        <v>2917821.6910000001</v>
      </c>
    </row>
    <row r="418" spans="1:17" x14ac:dyDescent="0.2">
      <c r="A418" t="s">
        <v>394</v>
      </c>
      <c r="B418" t="s">
        <v>16</v>
      </c>
      <c r="C418" t="s">
        <v>16</v>
      </c>
      <c r="D418" t="s">
        <v>16</v>
      </c>
      <c r="E418" t="s">
        <v>16</v>
      </c>
      <c r="F418" t="s">
        <v>26</v>
      </c>
      <c r="G418" t="s">
        <v>26</v>
      </c>
      <c r="H418" t="s">
        <v>16</v>
      </c>
      <c r="I418" t="s">
        <v>16</v>
      </c>
      <c r="J418" t="s">
        <v>16</v>
      </c>
      <c r="K418" t="s">
        <v>16</v>
      </c>
      <c r="L418" t="s">
        <v>228</v>
      </c>
      <c r="M418" t="str">
        <f t="shared" si="16"/>
        <v>fecalwild</v>
      </c>
      <c r="N418" t="s">
        <v>228</v>
      </c>
      <c r="O418" t="s">
        <v>351</v>
      </c>
      <c r="P418" t="s">
        <v>395</v>
      </c>
      <c r="Q418" t="s">
        <v>16</v>
      </c>
    </row>
    <row r="419" spans="1:17" x14ac:dyDescent="0.2">
      <c r="A419" t="s">
        <v>396</v>
      </c>
      <c r="B419">
        <v>0.111215171</v>
      </c>
      <c r="C419">
        <v>2007.0686643339197</v>
      </c>
      <c r="D419">
        <v>185.83969114202961</v>
      </c>
      <c r="E419">
        <f>D419*200</f>
        <v>37167.938228405925</v>
      </c>
      <c r="F419" t="s">
        <v>19</v>
      </c>
      <c r="G419" t="s">
        <v>32</v>
      </c>
      <c r="H419" t="s">
        <v>16</v>
      </c>
      <c r="I419" t="s">
        <v>16</v>
      </c>
      <c r="J419" t="s">
        <v>16</v>
      </c>
      <c r="K419" t="s">
        <v>16</v>
      </c>
      <c r="L419" t="s">
        <v>228</v>
      </c>
      <c r="M419" t="str">
        <f t="shared" si="16"/>
        <v>abx_challengedwild</v>
      </c>
      <c r="N419" t="s">
        <v>228</v>
      </c>
      <c r="O419" t="s">
        <v>351</v>
      </c>
      <c r="P419" t="s">
        <v>395</v>
      </c>
      <c r="Q419">
        <f>E419-E420</f>
        <v>34916.547468883015</v>
      </c>
    </row>
    <row r="420" spans="1:17" x14ac:dyDescent="0.2">
      <c r="A420" t="s">
        <v>397</v>
      </c>
      <c r="B420">
        <v>0</v>
      </c>
      <c r="C420">
        <v>121.57510101423735</v>
      </c>
      <c r="D420">
        <v>11.256953797614569</v>
      </c>
      <c r="E420">
        <f t="shared" ref="E420:E421" si="18">D420*200</f>
        <v>2251.3907595229139</v>
      </c>
      <c r="F420" t="s">
        <v>19</v>
      </c>
      <c r="G420" t="s">
        <v>36</v>
      </c>
      <c r="H420" t="s">
        <v>37</v>
      </c>
      <c r="I420">
        <v>0</v>
      </c>
      <c r="J420" t="s">
        <v>37</v>
      </c>
      <c r="K420">
        <v>37167.93823</v>
      </c>
      <c r="L420" t="s">
        <v>228</v>
      </c>
      <c r="M420" t="str">
        <f t="shared" si="16"/>
        <v>controlwild</v>
      </c>
      <c r="N420" t="s">
        <v>228</v>
      </c>
      <c r="O420" t="s">
        <v>351</v>
      </c>
      <c r="P420" t="s">
        <v>395</v>
      </c>
      <c r="Q420" t="s">
        <v>16</v>
      </c>
    </row>
    <row r="421" spans="1:17" x14ac:dyDescent="0.2">
      <c r="A421" t="s">
        <v>398</v>
      </c>
      <c r="B421">
        <v>5.2021555999999997E-2</v>
      </c>
      <c r="C421" t="s">
        <v>16</v>
      </c>
      <c r="D421">
        <v>0</v>
      </c>
      <c r="E421">
        <f t="shared" si="18"/>
        <v>0</v>
      </c>
      <c r="F421" t="s">
        <v>19</v>
      </c>
      <c r="G421" t="s">
        <v>41</v>
      </c>
      <c r="H421" t="s">
        <v>16</v>
      </c>
      <c r="I421" t="s">
        <v>16</v>
      </c>
      <c r="J421" t="s">
        <v>16</v>
      </c>
      <c r="K421" t="s">
        <v>16</v>
      </c>
      <c r="L421" t="s">
        <v>228</v>
      </c>
      <c r="M421" t="str">
        <f t="shared" si="16"/>
        <v>challengedwild</v>
      </c>
      <c r="N421" t="s">
        <v>228</v>
      </c>
      <c r="O421" t="s">
        <v>351</v>
      </c>
      <c r="P421" t="s">
        <v>395</v>
      </c>
      <c r="Q421">
        <f>E421-E420</f>
        <v>-2251.3907595229139</v>
      </c>
    </row>
    <row r="422" spans="1:17" x14ac:dyDescent="0.2">
      <c r="A422" t="s">
        <v>399</v>
      </c>
      <c r="B422" t="s">
        <v>16</v>
      </c>
      <c r="C422" t="s">
        <v>16</v>
      </c>
      <c r="D422" t="s">
        <v>16</v>
      </c>
      <c r="E422" t="s">
        <v>16</v>
      </c>
      <c r="F422" t="s">
        <v>26</v>
      </c>
      <c r="G422" t="s">
        <v>26</v>
      </c>
      <c r="H422" t="s">
        <v>16</v>
      </c>
      <c r="I422" t="s">
        <v>16</v>
      </c>
      <c r="J422" t="s">
        <v>16</v>
      </c>
      <c r="K422" t="s">
        <v>16</v>
      </c>
      <c r="L422" t="s">
        <v>228</v>
      </c>
      <c r="M422" t="str">
        <f t="shared" si="16"/>
        <v>fecalwild</v>
      </c>
      <c r="N422" t="s">
        <v>228</v>
      </c>
      <c r="O422" t="s">
        <v>351</v>
      </c>
      <c r="P422" t="s">
        <v>400</v>
      </c>
      <c r="Q422" t="s">
        <v>16</v>
      </c>
    </row>
    <row r="423" spans="1:17" x14ac:dyDescent="0.2">
      <c r="A423" t="s">
        <v>401</v>
      </c>
      <c r="B423">
        <v>9.1398393999999994E-2</v>
      </c>
      <c r="C423">
        <v>10.129555099437214</v>
      </c>
      <c r="D423">
        <v>0.93792176846640873</v>
      </c>
      <c r="E423">
        <f>D423*200</f>
        <v>187.58435369328174</v>
      </c>
      <c r="F423" t="s">
        <v>19</v>
      </c>
      <c r="G423" t="s">
        <v>32</v>
      </c>
      <c r="H423" t="s">
        <v>16</v>
      </c>
      <c r="I423" t="s">
        <v>16</v>
      </c>
      <c r="J423" t="s">
        <v>16</v>
      </c>
      <c r="K423" t="s">
        <v>16</v>
      </c>
      <c r="L423" t="s">
        <v>228</v>
      </c>
      <c r="M423" t="str">
        <f t="shared" si="16"/>
        <v>abx_challengedwild</v>
      </c>
      <c r="N423" t="s">
        <v>228</v>
      </c>
      <c r="O423" t="s">
        <v>351</v>
      </c>
      <c r="P423" t="s">
        <v>400</v>
      </c>
      <c r="Q423">
        <f>E423</f>
        <v>187.58435369328174</v>
      </c>
    </row>
    <row r="424" spans="1:17" x14ac:dyDescent="0.2">
      <c r="A424" t="s">
        <v>402</v>
      </c>
      <c r="B424">
        <v>0</v>
      </c>
      <c r="C424" t="s">
        <v>16</v>
      </c>
      <c r="D424">
        <v>0</v>
      </c>
      <c r="E424">
        <f t="shared" ref="E424:E425" si="19">D424*200</f>
        <v>0</v>
      </c>
      <c r="F424" t="s">
        <v>19</v>
      </c>
      <c r="G424" t="s">
        <v>36</v>
      </c>
      <c r="H424" t="s">
        <v>37</v>
      </c>
      <c r="I424">
        <v>585.48787040000002</v>
      </c>
      <c r="J424" t="s">
        <v>37</v>
      </c>
      <c r="K424">
        <v>187.58435370000001</v>
      </c>
      <c r="L424" t="s">
        <v>228</v>
      </c>
      <c r="M424" t="str">
        <f t="shared" si="16"/>
        <v>controlwild</v>
      </c>
      <c r="N424" t="s">
        <v>228</v>
      </c>
      <c r="O424" t="s">
        <v>351</v>
      </c>
      <c r="P424" t="s">
        <v>400</v>
      </c>
      <c r="Q424" t="s">
        <v>16</v>
      </c>
    </row>
    <row r="425" spans="1:17" x14ac:dyDescent="0.2">
      <c r="A425" t="s">
        <v>403</v>
      </c>
      <c r="B425">
        <v>3.0107640000000001E-2</v>
      </c>
      <c r="C425">
        <v>31.616345001889698</v>
      </c>
      <c r="D425">
        <v>2.9274393520268238</v>
      </c>
      <c r="E425">
        <f t="shared" si="19"/>
        <v>585.48787040536479</v>
      </c>
      <c r="F425" t="s">
        <v>19</v>
      </c>
      <c r="G425" t="s">
        <v>41</v>
      </c>
      <c r="H425" t="s">
        <v>16</v>
      </c>
      <c r="I425" t="s">
        <v>16</v>
      </c>
      <c r="J425" t="s">
        <v>16</v>
      </c>
      <c r="K425" t="s">
        <v>16</v>
      </c>
      <c r="L425" t="s">
        <v>228</v>
      </c>
      <c r="M425" t="str">
        <f t="shared" si="16"/>
        <v>challengedwild</v>
      </c>
      <c r="N425" t="s">
        <v>228</v>
      </c>
      <c r="O425" t="s">
        <v>351</v>
      </c>
      <c r="P425" t="s">
        <v>400</v>
      </c>
      <c r="Q425">
        <f>E425</f>
        <v>585.48787040536479</v>
      </c>
    </row>
    <row r="426" spans="1:17" x14ac:dyDescent="0.2">
      <c r="A426" t="s">
        <v>404</v>
      </c>
      <c r="B426" t="s">
        <v>16</v>
      </c>
      <c r="C426" t="s">
        <v>16</v>
      </c>
      <c r="D426" t="s">
        <v>16</v>
      </c>
      <c r="E426" t="s">
        <v>16</v>
      </c>
      <c r="F426" t="s">
        <v>26</v>
      </c>
      <c r="G426" t="s">
        <v>26</v>
      </c>
      <c r="H426" t="s">
        <v>16</v>
      </c>
      <c r="I426" t="s">
        <v>16</v>
      </c>
      <c r="J426" t="s">
        <v>16</v>
      </c>
      <c r="K426" t="s">
        <v>16</v>
      </c>
      <c r="L426" t="s">
        <v>228</v>
      </c>
      <c r="M426" t="str">
        <f t="shared" si="16"/>
        <v>fecalwild</v>
      </c>
      <c r="N426" t="s">
        <v>228</v>
      </c>
      <c r="O426" t="s">
        <v>351</v>
      </c>
      <c r="P426" t="s">
        <v>405</v>
      </c>
      <c r="Q426" t="s">
        <v>16</v>
      </c>
    </row>
    <row r="427" spans="1:17" x14ac:dyDescent="0.2">
      <c r="A427" t="s">
        <v>406</v>
      </c>
      <c r="B427" t="s">
        <v>16</v>
      </c>
      <c r="C427">
        <v>2552.7187210000002</v>
      </c>
      <c r="D427">
        <v>236.36284449999999</v>
      </c>
      <c r="E427">
        <v>47272.568910000002</v>
      </c>
      <c r="F427" t="s">
        <v>19</v>
      </c>
      <c r="G427" t="s">
        <v>91</v>
      </c>
      <c r="H427" t="s">
        <v>16</v>
      </c>
      <c r="I427" t="s">
        <v>16</v>
      </c>
      <c r="J427" t="s">
        <v>16</v>
      </c>
      <c r="K427" t="s">
        <v>16</v>
      </c>
      <c r="L427" t="s">
        <v>228</v>
      </c>
      <c r="M427" t="str">
        <f t="shared" si="16"/>
        <v>ABXwild</v>
      </c>
      <c r="N427" t="s">
        <v>228</v>
      </c>
      <c r="O427" t="s">
        <v>351</v>
      </c>
      <c r="P427" t="s">
        <v>405</v>
      </c>
      <c r="Q427">
        <v>236.36284449999999</v>
      </c>
    </row>
    <row r="428" spans="1:17" x14ac:dyDescent="0.2">
      <c r="A428" t="s">
        <v>407</v>
      </c>
      <c r="B428">
        <v>0.118114947</v>
      </c>
      <c r="C428">
        <v>487.97109019999999</v>
      </c>
      <c r="D428">
        <v>45.182508349999999</v>
      </c>
      <c r="E428">
        <v>9036.5016699999996</v>
      </c>
      <c r="F428" t="s">
        <v>19</v>
      </c>
      <c r="G428" t="s">
        <v>32</v>
      </c>
      <c r="H428" t="s">
        <v>16</v>
      </c>
      <c r="I428" t="s">
        <v>16</v>
      </c>
      <c r="J428" t="s">
        <v>16</v>
      </c>
      <c r="K428" t="s">
        <v>16</v>
      </c>
      <c r="L428" t="s">
        <v>228</v>
      </c>
      <c r="M428" t="str">
        <f t="shared" si="16"/>
        <v>abx_challengedwild</v>
      </c>
      <c r="N428" t="s">
        <v>228</v>
      </c>
      <c r="O428" t="s">
        <v>351</v>
      </c>
      <c r="P428" t="s">
        <v>405</v>
      </c>
      <c r="Q428">
        <v>45.182508349999999</v>
      </c>
    </row>
    <row r="429" spans="1:17" x14ac:dyDescent="0.2">
      <c r="A429" t="s">
        <v>1024</v>
      </c>
      <c r="B429">
        <v>0.14353401700000001</v>
      </c>
      <c r="C429">
        <v>263484968.59999999</v>
      </c>
      <c r="D429">
        <v>526969.93729999999</v>
      </c>
      <c r="E429">
        <v>105393987.5</v>
      </c>
      <c r="F429" t="s">
        <v>33</v>
      </c>
      <c r="G429" t="s">
        <v>32</v>
      </c>
      <c r="H429" t="s">
        <v>16</v>
      </c>
      <c r="I429" t="s">
        <v>16</v>
      </c>
      <c r="J429" t="s">
        <v>16</v>
      </c>
      <c r="K429" t="s">
        <v>16</v>
      </c>
      <c r="L429" t="s">
        <v>228</v>
      </c>
      <c r="M429" t="str">
        <f t="shared" si="16"/>
        <v>abx_challengedwild</v>
      </c>
      <c r="N429" t="s">
        <v>228</v>
      </c>
      <c r="O429" t="s">
        <v>351</v>
      </c>
      <c r="P429" t="s">
        <v>405</v>
      </c>
      <c r="Q429">
        <v>491971.47080000001</v>
      </c>
    </row>
    <row r="430" spans="1:17" x14ac:dyDescent="0.2">
      <c r="A430" t="s">
        <v>408</v>
      </c>
      <c r="B430">
        <v>0.117825124</v>
      </c>
      <c r="C430">
        <v>5833077.7489999998</v>
      </c>
      <c r="D430">
        <v>34998.466489999999</v>
      </c>
      <c r="E430">
        <v>6999693.2980000004</v>
      </c>
      <c r="F430" t="s">
        <v>17</v>
      </c>
      <c r="G430" t="s">
        <v>32</v>
      </c>
      <c r="H430" t="s">
        <v>16</v>
      </c>
      <c r="I430" t="s">
        <v>16</v>
      </c>
      <c r="J430" t="s">
        <v>16</v>
      </c>
      <c r="K430" t="s">
        <v>16</v>
      </c>
      <c r="L430" t="s">
        <v>228</v>
      </c>
      <c r="M430" t="str">
        <f t="shared" si="16"/>
        <v>abx_challengedwild</v>
      </c>
      <c r="N430" t="s">
        <v>228</v>
      </c>
      <c r="O430" t="s">
        <v>351</v>
      </c>
      <c r="P430" t="s">
        <v>405</v>
      </c>
      <c r="Q430">
        <v>34998.466489999999</v>
      </c>
    </row>
    <row r="431" spans="1:17" x14ac:dyDescent="0.2">
      <c r="A431" t="s">
        <v>409</v>
      </c>
      <c r="B431" s="1">
        <v>0</v>
      </c>
      <c r="C431" t="s">
        <v>16</v>
      </c>
      <c r="D431">
        <v>0</v>
      </c>
      <c r="E431">
        <v>0</v>
      </c>
      <c r="F431" t="s">
        <v>19</v>
      </c>
      <c r="G431" t="s">
        <v>36</v>
      </c>
      <c r="H431" t="s">
        <v>37</v>
      </c>
      <c r="I431" t="s">
        <v>16</v>
      </c>
      <c r="J431" t="s">
        <v>37</v>
      </c>
      <c r="K431">
        <v>9036.5016699999996</v>
      </c>
      <c r="L431" t="s">
        <v>228</v>
      </c>
      <c r="M431" t="str">
        <f t="shared" si="16"/>
        <v>controlwild</v>
      </c>
      <c r="N431" t="s">
        <v>228</v>
      </c>
      <c r="O431" t="s">
        <v>351</v>
      </c>
      <c r="P431" t="s">
        <v>405</v>
      </c>
      <c r="Q431" t="s">
        <v>16</v>
      </c>
    </row>
    <row r="432" spans="1:17" x14ac:dyDescent="0.2">
      <c r="A432" t="s">
        <v>1025</v>
      </c>
      <c r="B432" s="1">
        <v>0</v>
      </c>
      <c r="C432">
        <v>109112975.3</v>
      </c>
      <c r="D432">
        <v>654677.85190000001</v>
      </c>
      <c r="E432">
        <v>130935570.40000001</v>
      </c>
      <c r="F432" t="s">
        <v>33</v>
      </c>
      <c r="G432" t="s">
        <v>36</v>
      </c>
      <c r="H432" t="s">
        <v>38</v>
      </c>
      <c r="I432">
        <v>350551771.30000001</v>
      </c>
      <c r="J432" t="s">
        <v>38</v>
      </c>
      <c r="K432">
        <v>105393987.5</v>
      </c>
      <c r="L432" t="s">
        <v>228</v>
      </c>
      <c r="M432" t="str">
        <f t="shared" si="16"/>
        <v>controlwild</v>
      </c>
      <c r="N432" t="s">
        <v>228</v>
      </c>
      <c r="O432" t="s">
        <v>351</v>
      </c>
      <c r="P432" t="s">
        <v>405</v>
      </c>
      <c r="Q432" t="s">
        <v>16</v>
      </c>
    </row>
    <row r="433" spans="1:17" x14ac:dyDescent="0.2">
      <c r="A433" t="s">
        <v>410</v>
      </c>
      <c r="B433" s="1">
        <v>0</v>
      </c>
      <c r="C433" t="s">
        <v>16</v>
      </c>
      <c r="D433">
        <v>0</v>
      </c>
      <c r="E433">
        <v>0</v>
      </c>
      <c r="F433" t="s">
        <v>17</v>
      </c>
      <c r="G433" t="s">
        <v>36</v>
      </c>
      <c r="H433" t="s">
        <v>38</v>
      </c>
      <c r="I433">
        <v>529938053.89999998</v>
      </c>
      <c r="J433" t="s">
        <v>38</v>
      </c>
      <c r="K433">
        <v>6999693.2980000004</v>
      </c>
      <c r="L433" t="s">
        <v>228</v>
      </c>
      <c r="M433" t="str">
        <f t="shared" si="16"/>
        <v>controlwild</v>
      </c>
      <c r="N433" t="s">
        <v>228</v>
      </c>
      <c r="O433" t="s">
        <v>351</v>
      </c>
      <c r="P433" t="s">
        <v>405</v>
      </c>
      <c r="Q433" t="s">
        <v>16</v>
      </c>
    </row>
    <row r="434" spans="1:17" x14ac:dyDescent="0.2">
      <c r="A434" t="s">
        <v>1026</v>
      </c>
      <c r="B434">
        <v>3.9235894E-2</v>
      </c>
      <c r="C434">
        <v>29212647.609999999</v>
      </c>
      <c r="D434">
        <v>1752758.8559999999</v>
      </c>
      <c r="E434">
        <v>350551771.30000001</v>
      </c>
      <c r="F434" t="s">
        <v>33</v>
      </c>
      <c r="G434" t="s">
        <v>41</v>
      </c>
      <c r="H434" t="s">
        <v>16</v>
      </c>
      <c r="I434" t="s">
        <v>16</v>
      </c>
      <c r="J434" t="s">
        <v>16</v>
      </c>
      <c r="K434" t="s">
        <v>16</v>
      </c>
      <c r="L434" t="s">
        <v>228</v>
      </c>
      <c r="M434" t="str">
        <f t="shared" si="16"/>
        <v>challengedwild</v>
      </c>
      <c r="N434" t="s">
        <v>228</v>
      </c>
      <c r="O434" t="s">
        <v>351</v>
      </c>
      <c r="P434" t="s">
        <v>405</v>
      </c>
      <c r="Q434">
        <v>1752579.54</v>
      </c>
    </row>
    <row r="435" spans="1:17" x14ac:dyDescent="0.2">
      <c r="A435" t="s">
        <v>411</v>
      </c>
      <c r="B435">
        <v>0.18025448699999999</v>
      </c>
      <c r="C435">
        <v>44161504.490000002</v>
      </c>
      <c r="D435">
        <v>2649690.27</v>
      </c>
      <c r="E435">
        <v>529938053.89999998</v>
      </c>
      <c r="F435" t="s">
        <v>17</v>
      </c>
      <c r="G435" t="s">
        <v>41</v>
      </c>
      <c r="H435" t="s">
        <v>16</v>
      </c>
      <c r="I435" t="s">
        <v>16</v>
      </c>
      <c r="J435" t="s">
        <v>16</v>
      </c>
      <c r="K435" t="s">
        <v>16</v>
      </c>
      <c r="L435" t="s">
        <v>228</v>
      </c>
      <c r="M435" t="str">
        <f t="shared" si="16"/>
        <v>challengedwild</v>
      </c>
      <c r="N435" t="s">
        <v>228</v>
      </c>
      <c r="O435" t="s">
        <v>351</v>
      </c>
      <c r="P435" t="s">
        <v>405</v>
      </c>
      <c r="Q435">
        <v>2649690.27</v>
      </c>
    </row>
    <row r="436" spans="1:17" x14ac:dyDescent="0.2">
      <c r="A436" t="s">
        <v>412</v>
      </c>
      <c r="B436">
        <v>8.0765975000000004E-2</v>
      </c>
      <c r="C436">
        <v>1936.617886</v>
      </c>
      <c r="D436">
        <v>179.31647100000001</v>
      </c>
      <c r="E436">
        <v>35863.294190000001</v>
      </c>
      <c r="F436" t="s">
        <v>19</v>
      </c>
      <c r="G436" t="s">
        <v>32</v>
      </c>
      <c r="H436" t="s">
        <v>16</v>
      </c>
      <c r="I436" t="s">
        <v>16</v>
      </c>
      <c r="J436" t="s">
        <v>16</v>
      </c>
      <c r="K436" t="s">
        <v>16</v>
      </c>
      <c r="L436" t="s">
        <v>228</v>
      </c>
      <c r="M436" t="str">
        <f t="shared" si="16"/>
        <v>abx_challengedwild</v>
      </c>
      <c r="N436" t="s">
        <v>228</v>
      </c>
      <c r="O436" t="s">
        <v>351</v>
      </c>
      <c r="P436" t="s">
        <v>413</v>
      </c>
      <c r="Q436">
        <v>-26393.510109999999</v>
      </c>
    </row>
    <row r="437" spans="1:17" x14ac:dyDescent="0.2">
      <c r="A437" t="s">
        <v>1027</v>
      </c>
      <c r="B437">
        <v>8.9281890000000003E-2</v>
      </c>
      <c r="C437">
        <v>276640710.10000002</v>
      </c>
      <c r="D437">
        <v>553281.42020000005</v>
      </c>
      <c r="E437">
        <v>110656284</v>
      </c>
      <c r="F437" t="s">
        <v>33</v>
      </c>
      <c r="G437" t="s">
        <v>32</v>
      </c>
      <c r="H437" t="s">
        <v>16</v>
      </c>
      <c r="I437" t="s">
        <v>16</v>
      </c>
      <c r="J437" t="s">
        <v>16</v>
      </c>
      <c r="K437" t="s">
        <v>16</v>
      </c>
      <c r="L437" t="s">
        <v>228</v>
      </c>
      <c r="M437" t="str">
        <f t="shared" si="16"/>
        <v>abx_challengedwild</v>
      </c>
      <c r="N437" t="s">
        <v>228</v>
      </c>
      <c r="O437" t="s">
        <v>351</v>
      </c>
      <c r="P437" t="s">
        <v>413</v>
      </c>
      <c r="Q437">
        <v>526708.59360000002</v>
      </c>
    </row>
    <row r="438" spans="1:17" x14ac:dyDescent="0.2">
      <c r="A438" t="s">
        <v>414</v>
      </c>
      <c r="B438">
        <v>0.19434927900000001</v>
      </c>
      <c r="C438">
        <v>4428804.43</v>
      </c>
      <c r="D438">
        <v>26572.826580000001</v>
      </c>
      <c r="E438">
        <v>5314565.3169999998</v>
      </c>
      <c r="F438" t="s">
        <v>17</v>
      </c>
      <c r="G438" t="s">
        <v>32</v>
      </c>
      <c r="H438" t="s">
        <v>16</v>
      </c>
      <c r="I438" t="s">
        <v>16</v>
      </c>
      <c r="J438" t="s">
        <v>16</v>
      </c>
      <c r="K438" t="s">
        <v>16</v>
      </c>
      <c r="L438" t="s">
        <v>228</v>
      </c>
      <c r="M438" t="str">
        <f t="shared" si="16"/>
        <v>abx_challengedwild</v>
      </c>
      <c r="N438" t="s">
        <v>228</v>
      </c>
      <c r="O438" t="s">
        <v>351</v>
      </c>
      <c r="P438" t="s">
        <v>413</v>
      </c>
      <c r="Q438">
        <v>26572.826580000001</v>
      </c>
    </row>
    <row r="439" spans="1:17" x14ac:dyDescent="0.2">
      <c r="A439" t="s">
        <v>415</v>
      </c>
      <c r="B439" s="1">
        <v>0</v>
      </c>
      <c r="C439">
        <v>251.1423538</v>
      </c>
      <c r="D439">
        <v>23.253921649999999</v>
      </c>
      <c r="E439">
        <v>4650.7843300000004</v>
      </c>
      <c r="F439" t="s">
        <v>19</v>
      </c>
      <c r="G439" t="s">
        <v>36</v>
      </c>
      <c r="H439" t="s">
        <v>37</v>
      </c>
      <c r="I439">
        <v>6376.6006749999997</v>
      </c>
      <c r="J439" t="s">
        <v>37</v>
      </c>
      <c r="K439">
        <v>35863.294190000001</v>
      </c>
      <c r="L439" t="s">
        <v>228</v>
      </c>
      <c r="M439" t="str">
        <f t="shared" si="16"/>
        <v>controlwild</v>
      </c>
      <c r="N439" t="s">
        <v>228</v>
      </c>
      <c r="O439" t="s">
        <v>351</v>
      </c>
      <c r="P439" t="s">
        <v>413</v>
      </c>
      <c r="Q439" t="s">
        <v>16</v>
      </c>
    </row>
    <row r="440" spans="1:17" x14ac:dyDescent="0.2">
      <c r="A440" t="s">
        <v>1028</v>
      </c>
      <c r="B440" s="1">
        <v>0</v>
      </c>
      <c r="C440">
        <v>241692857.19999999</v>
      </c>
      <c r="D440">
        <v>1450157.1429999999</v>
      </c>
      <c r="E440">
        <v>290031428.69999999</v>
      </c>
      <c r="F440" t="s">
        <v>33</v>
      </c>
      <c r="G440" t="s">
        <v>36</v>
      </c>
      <c r="H440" t="s">
        <v>38</v>
      </c>
      <c r="I440">
        <v>15770901521</v>
      </c>
      <c r="J440" t="s">
        <v>38</v>
      </c>
      <c r="K440">
        <v>110656284</v>
      </c>
      <c r="L440" t="s">
        <v>228</v>
      </c>
      <c r="M440" t="str">
        <f t="shared" si="16"/>
        <v>controlwild</v>
      </c>
      <c r="N440" t="s">
        <v>228</v>
      </c>
      <c r="O440" t="s">
        <v>351</v>
      </c>
      <c r="P440" t="s">
        <v>413</v>
      </c>
      <c r="Q440" t="s">
        <v>16</v>
      </c>
    </row>
    <row r="441" spans="1:17" x14ac:dyDescent="0.2">
      <c r="A441" t="s">
        <v>416</v>
      </c>
      <c r="B441" s="1">
        <v>0</v>
      </c>
      <c r="C441" t="s">
        <v>16</v>
      </c>
      <c r="D441">
        <v>0</v>
      </c>
      <c r="E441">
        <v>0</v>
      </c>
      <c r="F441" t="s">
        <v>17</v>
      </c>
      <c r="G441" t="s">
        <v>36</v>
      </c>
      <c r="H441" t="s">
        <v>38</v>
      </c>
      <c r="I441">
        <v>134784366.69999999</v>
      </c>
      <c r="J441" t="s">
        <v>38</v>
      </c>
      <c r="K441">
        <v>5314565.3169999998</v>
      </c>
      <c r="L441" t="s">
        <v>228</v>
      </c>
      <c r="M441" t="str">
        <f t="shared" si="16"/>
        <v>controlwild</v>
      </c>
      <c r="N441" t="s">
        <v>228</v>
      </c>
      <c r="O441" t="s">
        <v>351</v>
      </c>
      <c r="P441" t="s">
        <v>413</v>
      </c>
      <c r="Q441" t="s">
        <v>16</v>
      </c>
    </row>
    <row r="442" spans="1:17" x14ac:dyDescent="0.2">
      <c r="A442" t="s">
        <v>417</v>
      </c>
      <c r="B442">
        <v>8.7249629999999995E-2</v>
      </c>
      <c r="C442">
        <v>344.33643640000003</v>
      </c>
      <c r="D442">
        <v>31.883003370000001</v>
      </c>
      <c r="E442">
        <v>6376.6006749999997</v>
      </c>
      <c r="F442" t="s">
        <v>19</v>
      </c>
      <c r="G442" t="s">
        <v>41</v>
      </c>
      <c r="H442" t="s">
        <v>16</v>
      </c>
      <c r="I442" t="s">
        <v>16</v>
      </c>
      <c r="J442" t="s">
        <v>16</v>
      </c>
      <c r="K442" t="s">
        <v>16</v>
      </c>
      <c r="L442" t="s">
        <v>228</v>
      </c>
      <c r="M442" t="str">
        <f t="shared" si="16"/>
        <v>challengedwild</v>
      </c>
      <c r="N442" t="s">
        <v>228</v>
      </c>
      <c r="O442" t="s">
        <v>351</v>
      </c>
      <c r="P442" t="s">
        <v>413</v>
      </c>
      <c r="Q442">
        <v>-78854475.719999999</v>
      </c>
    </row>
    <row r="443" spans="1:17" x14ac:dyDescent="0.2">
      <c r="A443" t="s">
        <v>1029</v>
      </c>
      <c r="B443">
        <v>8.2368345999999995E-2</v>
      </c>
      <c r="C443">
        <v>1314241793</v>
      </c>
      <c r="D443">
        <v>78854507.609999999</v>
      </c>
      <c r="E443">
        <v>15770901521</v>
      </c>
      <c r="F443" t="s">
        <v>33</v>
      </c>
      <c r="G443" t="s">
        <v>41</v>
      </c>
      <c r="H443" t="s">
        <v>16</v>
      </c>
      <c r="I443" t="s">
        <v>16</v>
      </c>
      <c r="J443" t="s">
        <v>16</v>
      </c>
      <c r="K443" t="s">
        <v>16</v>
      </c>
      <c r="L443" t="s">
        <v>228</v>
      </c>
      <c r="M443" t="str">
        <f t="shared" si="16"/>
        <v>challengedwild</v>
      </c>
      <c r="N443" t="s">
        <v>228</v>
      </c>
      <c r="O443" t="s">
        <v>351</v>
      </c>
      <c r="P443" t="s">
        <v>413</v>
      </c>
      <c r="Q443">
        <v>78854488.650000006</v>
      </c>
    </row>
    <row r="444" spans="1:17" x14ac:dyDescent="0.2">
      <c r="A444" t="s">
        <v>418</v>
      </c>
      <c r="B444">
        <v>0.17493334299999999</v>
      </c>
      <c r="C444">
        <v>11232030.560000001</v>
      </c>
      <c r="D444">
        <v>673921.83360000001</v>
      </c>
      <c r="E444">
        <v>134784366.69999999</v>
      </c>
      <c r="F444" t="s">
        <v>17</v>
      </c>
      <c r="G444" t="s">
        <v>41</v>
      </c>
      <c r="H444" t="s">
        <v>16</v>
      </c>
      <c r="I444" t="s">
        <v>16</v>
      </c>
      <c r="J444" t="s">
        <v>16</v>
      </c>
      <c r="K444" t="s">
        <v>16</v>
      </c>
      <c r="L444" t="s">
        <v>228</v>
      </c>
      <c r="M444" t="str">
        <f t="shared" si="16"/>
        <v>challengedwild</v>
      </c>
      <c r="N444" t="s">
        <v>228</v>
      </c>
      <c r="O444" t="s">
        <v>351</v>
      </c>
      <c r="P444" t="s">
        <v>413</v>
      </c>
      <c r="Q444">
        <v>673921.83360000001</v>
      </c>
    </row>
    <row r="445" spans="1:17" x14ac:dyDescent="0.2">
      <c r="A445" t="s">
        <v>419</v>
      </c>
      <c r="B445" t="s">
        <v>16</v>
      </c>
      <c r="C445" t="s">
        <v>16</v>
      </c>
      <c r="D445" t="s">
        <v>16</v>
      </c>
      <c r="E445" t="s">
        <v>16</v>
      </c>
      <c r="F445" t="s">
        <v>26</v>
      </c>
      <c r="G445" t="s">
        <v>26</v>
      </c>
      <c r="H445" t="s">
        <v>16</v>
      </c>
      <c r="I445" t="s">
        <v>16</v>
      </c>
      <c r="J445" t="s">
        <v>16</v>
      </c>
      <c r="K445" t="s">
        <v>16</v>
      </c>
      <c r="L445" t="s">
        <v>228</v>
      </c>
      <c r="M445" t="str">
        <f t="shared" si="16"/>
        <v>fecalwild</v>
      </c>
      <c r="N445" t="s">
        <v>228</v>
      </c>
      <c r="O445" t="s">
        <v>351</v>
      </c>
      <c r="P445" t="s">
        <v>420</v>
      </c>
      <c r="Q445" t="s">
        <v>16</v>
      </c>
    </row>
    <row r="446" spans="1:17" x14ac:dyDescent="0.2">
      <c r="A446" t="s">
        <v>421</v>
      </c>
      <c r="B446">
        <v>0.12281491</v>
      </c>
      <c r="C446">
        <v>468.68314029308431</v>
      </c>
      <c r="D446">
        <v>43.396587064174469</v>
      </c>
      <c r="E446">
        <f>D446*200</f>
        <v>8679.3174128348946</v>
      </c>
      <c r="F446" t="s">
        <v>19</v>
      </c>
      <c r="G446" t="s">
        <v>32</v>
      </c>
      <c r="H446" t="s">
        <v>16</v>
      </c>
      <c r="I446" t="s">
        <v>16</v>
      </c>
      <c r="J446" t="s">
        <v>16</v>
      </c>
      <c r="K446" t="s">
        <v>16</v>
      </c>
      <c r="L446" t="s">
        <v>228</v>
      </c>
      <c r="M446" t="str">
        <f t="shared" si="16"/>
        <v>abx_challengedwild</v>
      </c>
      <c r="N446" t="s">
        <v>228</v>
      </c>
      <c r="O446" t="s">
        <v>351</v>
      </c>
      <c r="P446" t="s">
        <v>420</v>
      </c>
      <c r="Q446">
        <f>K447</f>
        <v>8679.3174130000007</v>
      </c>
    </row>
    <row r="447" spans="1:17" x14ac:dyDescent="0.2">
      <c r="A447" t="s">
        <v>422</v>
      </c>
      <c r="B447">
        <v>0</v>
      </c>
      <c r="C447" t="s">
        <v>16</v>
      </c>
      <c r="D447">
        <v>0</v>
      </c>
      <c r="E447">
        <f t="shared" ref="E447:E448" si="20">D447*200</f>
        <v>0</v>
      </c>
      <c r="F447" t="s">
        <v>19</v>
      </c>
      <c r="G447" t="s">
        <v>36</v>
      </c>
      <c r="H447" t="s">
        <v>37</v>
      </c>
      <c r="I447">
        <v>5144.9646940000002</v>
      </c>
      <c r="J447" t="s">
        <v>37</v>
      </c>
      <c r="K447">
        <v>8679.3174130000007</v>
      </c>
      <c r="L447" t="s">
        <v>228</v>
      </c>
      <c r="M447" t="str">
        <f t="shared" si="16"/>
        <v>controlwild</v>
      </c>
      <c r="N447" t="s">
        <v>228</v>
      </c>
      <c r="O447" t="s">
        <v>351</v>
      </c>
      <c r="P447" t="s">
        <v>420</v>
      </c>
      <c r="Q447" t="s">
        <v>16</v>
      </c>
    </row>
    <row r="448" spans="1:17" x14ac:dyDescent="0.2">
      <c r="A448" t="s">
        <v>423</v>
      </c>
      <c r="B448">
        <v>0.105123486</v>
      </c>
      <c r="C448">
        <v>277.82809345991535</v>
      </c>
      <c r="D448">
        <v>25.724823468510682</v>
      </c>
      <c r="E448">
        <f t="shared" si="20"/>
        <v>5144.9646937021362</v>
      </c>
      <c r="F448" t="s">
        <v>19</v>
      </c>
      <c r="G448" t="s">
        <v>41</v>
      </c>
      <c r="H448" t="s">
        <v>16</v>
      </c>
      <c r="I448" t="s">
        <v>16</v>
      </c>
      <c r="J448" t="s">
        <v>16</v>
      </c>
      <c r="K448" t="s">
        <v>16</v>
      </c>
      <c r="L448" t="s">
        <v>228</v>
      </c>
      <c r="M448" t="str">
        <f t="shared" si="16"/>
        <v>challengedwild</v>
      </c>
      <c r="N448" t="s">
        <v>228</v>
      </c>
      <c r="O448" t="s">
        <v>351</v>
      </c>
      <c r="P448" t="s">
        <v>420</v>
      </c>
      <c r="Q448">
        <f>I447</f>
        <v>5144.9646940000002</v>
      </c>
    </row>
    <row r="449" spans="1:17" x14ac:dyDescent="0.2">
      <c r="A449" t="s">
        <v>424</v>
      </c>
      <c r="B449">
        <v>6.0573742E-2</v>
      </c>
      <c r="C449">
        <v>204.7084294</v>
      </c>
      <c r="D449">
        <v>18.9544842</v>
      </c>
      <c r="E449">
        <v>3790.8968410000002</v>
      </c>
      <c r="F449" t="s">
        <v>19</v>
      </c>
      <c r="G449" t="s">
        <v>32</v>
      </c>
      <c r="H449" t="s">
        <v>16</v>
      </c>
      <c r="I449" t="s">
        <v>16</v>
      </c>
      <c r="J449" t="s">
        <v>16</v>
      </c>
      <c r="K449" t="s">
        <v>16</v>
      </c>
      <c r="L449" t="s">
        <v>228</v>
      </c>
      <c r="M449" t="str">
        <f t="shared" si="16"/>
        <v>abx_challengedwild</v>
      </c>
      <c r="N449" t="s">
        <v>228</v>
      </c>
      <c r="O449" t="s">
        <v>351</v>
      </c>
      <c r="P449" t="s">
        <v>425</v>
      </c>
      <c r="Q449">
        <v>18.9544842</v>
      </c>
    </row>
    <row r="450" spans="1:17" x14ac:dyDescent="0.2">
      <c r="A450" t="s">
        <v>1030</v>
      </c>
      <c r="B450">
        <v>0.14521305000000001</v>
      </c>
      <c r="C450">
        <v>229715702.59999999</v>
      </c>
      <c r="D450">
        <v>459431.40519999998</v>
      </c>
      <c r="E450">
        <v>91886281.040000007</v>
      </c>
      <c r="F450" t="s">
        <v>33</v>
      </c>
      <c r="G450" t="s">
        <v>32</v>
      </c>
      <c r="H450" t="s">
        <v>16</v>
      </c>
      <c r="I450" t="s">
        <v>16</v>
      </c>
      <c r="J450" t="s">
        <v>16</v>
      </c>
      <c r="K450" t="s">
        <v>16</v>
      </c>
      <c r="L450" t="s">
        <v>228</v>
      </c>
      <c r="M450" t="str">
        <f t="shared" si="16"/>
        <v>abx_challengedwild</v>
      </c>
      <c r="N450" t="s">
        <v>228</v>
      </c>
      <c r="O450" t="s">
        <v>351</v>
      </c>
      <c r="P450" t="s">
        <v>425</v>
      </c>
      <c r="Q450">
        <v>397168.49430000002</v>
      </c>
    </row>
    <row r="451" spans="1:17" x14ac:dyDescent="0.2">
      <c r="A451" t="s">
        <v>426</v>
      </c>
      <c r="B451">
        <v>0.20968830699999999</v>
      </c>
      <c r="C451">
        <v>10377151.810000001</v>
      </c>
      <c r="D451">
        <v>62262.910889999999</v>
      </c>
      <c r="E451">
        <v>12452582.18</v>
      </c>
      <c r="F451" t="s">
        <v>17</v>
      </c>
      <c r="G451" t="s">
        <v>32</v>
      </c>
      <c r="H451" t="s">
        <v>16</v>
      </c>
      <c r="I451" t="s">
        <v>16</v>
      </c>
      <c r="J451" t="s">
        <v>16</v>
      </c>
      <c r="K451" t="s">
        <v>16</v>
      </c>
      <c r="L451" t="s">
        <v>228</v>
      </c>
      <c r="M451" t="str">
        <f t="shared" si="16"/>
        <v>abx_challengedwild</v>
      </c>
      <c r="N451" t="s">
        <v>228</v>
      </c>
      <c r="O451" t="s">
        <v>351</v>
      </c>
      <c r="P451" t="s">
        <v>425</v>
      </c>
      <c r="Q451">
        <v>62262.910889999999</v>
      </c>
    </row>
    <row r="452" spans="1:17" x14ac:dyDescent="0.2">
      <c r="A452" t="s">
        <v>427</v>
      </c>
      <c r="B452" s="1">
        <v>0</v>
      </c>
      <c r="C452" t="s">
        <v>16</v>
      </c>
      <c r="D452">
        <v>0</v>
      </c>
      <c r="E452">
        <v>0</v>
      </c>
      <c r="F452" t="s">
        <v>19</v>
      </c>
      <c r="G452" t="s">
        <v>36</v>
      </c>
      <c r="H452" t="s">
        <v>37</v>
      </c>
      <c r="I452">
        <v>0</v>
      </c>
      <c r="J452" t="s">
        <v>37</v>
      </c>
      <c r="K452">
        <v>3790.8968410000002</v>
      </c>
      <c r="L452" t="s">
        <v>228</v>
      </c>
      <c r="M452" t="str">
        <f t="shared" si="16"/>
        <v>controlwild</v>
      </c>
      <c r="N452" t="s">
        <v>228</v>
      </c>
      <c r="O452" t="s">
        <v>351</v>
      </c>
      <c r="P452" t="s">
        <v>425</v>
      </c>
      <c r="Q452" t="s">
        <v>16</v>
      </c>
    </row>
    <row r="453" spans="1:17" x14ac:dyDescent="0.2">
      <c r="A453" t="s">
        <v>1031</v>
      </c>
      <c r="B453" s="1">
        <v>0</v>
      </c>
      <c r="C453">
        <v>109225828.59999999</v>
      </c>
      <c r="D453">
        <v>655354.97160000005</v>
      </c>
      <c r="E453">
        <v>131070994.3</v>
      </c>
      <c r="F453" t="s">
        <v>33</v>
      </c>
      <c r="G453" t="s">
        <v>36</v>
      </c>
      <c r="H453" t="s">
        <v>38</v>
      </c>
      <c r="I453">
        <v>1133268255</v>
      </c>
      <c r="J453" t="s">
        <v>38</v>
      </c>
      <c r="K453">
        <v>91886281.040000007</v>
      </c>
      <c r="L453" t="s">
        <v>228</v>
      </c>
      <c r="M453" t="str">
        <f t="shared" si="16"/>
        <v>controlwild</v>
      </c>
      <c r="N453" t="s">
        <v>228</v>
      </c>
      <c r="O453" t="s">
        <v>351</v>
      </c>
      <c r="P453" t="s">
        <v>425</v>
      </c>
      <c r="Q453" t="s">
        <v>16</v>
      </c>
    </row>
    <row r="454" spans="1:17" x14ac:dyDescent="0.2">
      <c r="A454" t="s">
        <v>428</v>
      </c>
      <c r="B454" s="1">
        <v>0</v>
      </c>
      <c r="C454" t="s">
        <v>16</v>
      </c>
      <c r="D454">
        <v>0</v>
      </c>
      <c r="E454">
        <v>0</v>
      </c>
      <c r="F454" t="s">
        <v>17</v>
      </c>
      <c r="G454" t="s">
        <v>36</v>
      </c>
      <c r="H454" t="s">
        <v>38</v>
      </c>
      <c r="I454">
        <v>341302837.80000001</v>
      </c>
      <c r="J454" t="s">
        <v>38</v>
      </c>
      <c r="K454">
        <v>12452582.18</v>
      </c>
      <c r="L454" t="s">
        <v>228</v>
      </c>
      <c r="M454" t="str">
        <f t="shared" si="16"/>
        <v>controlwild</v>
      </c>
      <c r="N454" t="s">
        <v>228</v>
      </c>
      <c r="O454" t="s">
        <v>351</v>
      </c>
      <c r="P454" t="s">
        <v>425</v>
      </c>
      <c r="Q454" t="s">
        <v>16</v>
      </c>
    </row>
    <row r="455" spans="1:17" x14ac:dyDescent="0.2">
      <c r="A455" t="s">
        <v>429</v>
      </c>
      <c r="B455">
        <v>5.3355211999999999E-2</v>
      </c>
      <c r="C455">
        <v>5.6474944730000001</v>
      </c>
      <c r="D455">
        <v>0</v>
      </c>
      <c r="E455">
        <v>0</v>
      </c>
      <c r="F455" t="s">
        <v>19</v>
      </c>
      <c r="G455" t="s">
        <v>41</v>
      </c>
      <c r="H455" t="s">
        <v>16</v>
      </c>
      <c r="I455" t="s">
        <v>16</v>
      </c>
      <c r="J455" t="s">
        <v>16</v>
      </c>
      <c r="K455" t="s">
        <v>16</v>
      </c>
      <c r="L455" t="s">
        <v>228</v>
      </c>
      <c r="M455" t="str">
        <f t="shared" si="16"/>
        <v>challengedwild</v>
      </c>
      <c r="N455" t="s">
        <v>228</v>
      </c>
      <c r="O455" t="s">
        <v>351</v>
      </c>
      <c r="P455" t="s">
        <v>425</v>
      </c>
      <c r="Q455">
        <v>0</v>
      </c>
    </row>
    <row r="456" spans="1:17" x14ac:dyDescent="0.2">
      <c r="A456" t="s">
        <v>1032</v>
      </c>
      <c r="B456">
        <v>4.6523562999999997E-2</v>
      </c>
      <c r="C456">
        <v>94439021.230000004</v>
      </c>
      <c r="D456">
        <v>5666341.2740000002</v>
      </c>
      <c r="E456">
        <v>1133268255</v>
      </c>
      <c r="F456" t="s">
        <v>33</v>
      </c>
      <c r="G456" t="s">
        <v>41</v>
      </c>
      <c r="H456" t="s">
        <v>16</v>
      </c>
      <c r="I456" t="s">
        <v>16</v>
      </c>
      <c r="J456" t="s">
        <v>16</v>
      </c>
      <c r="K456" t="s">
        <v>16</v>
      </c>
      <c r="L456" t="s">
        <v>228</v>
      </c>
      <c r="M456" t="str">
        <f t="shared" si="16"/>
        <v>challengedwild</v>
      </c>
      <c r="N456" t="s">
        <v>228</v>
      </c>
      <c r="O456" t="s">
        <v>351</v>
      </c>
      <c r="P456" t="s">
        <v>425</v>
      </c>
      <c r="Q456">
        <v>1002197260</v>
      </c>
    </row>
    <row r="457" spans="1:17" x14ac:dyDescent="0.2">
      <c r="A457" t="s">
        <v>430</v>
      </c>
      <c r="B457">
        <v>0.161554437</v>
      </c>
      <c r="C457">
        <v>28441903.149999999</v>
      </c>
      <c r="D457">
        <v>1706514.189</v>
      </c>
      <c r="E457">
        <v>341302837.80000001</v>
      </c>
      <c r="F457" t="s">
        <v>17</v>
      </c>
      <c r="G457" t="s">
        <v>41</v>
      </c>
      <c r="H457" t="s">
        <v>16</v>
      </c>
      <c r="I457" t="s">
        <v>16</v>
      </c>
      <c r="J457" t="s">
        <v>16</v>
      </c>
      <c r="K457" t="s">
        <v>16</v>
      </c>
      <c r="L457" t="s">
        <v>228</v>
      </c>
      <c r="M457" t="str">
        <f t="shared" si="16"/>
        <v>challengedwild</v>
      </c>
      <c r="N457" t="s">
        <v>228</v>
      </c>
      <c r="O457" t="s">
        <v>351</v>
      </c>
      <c r="P457" t="s">
        <v>425</v>
      </c>
      <c r="Q457">
        <v>1706514.189</v>
      </c>
    </row>
    <row r="458" spans="1:17" x14ac:dyDescent="0.2">
      <c r="A458" t="s">
        <v>431</v>
      </c>
      <c r="B458" t="s">
        <v>16</v>
      </c>
      <c r="C458" t="s">
        <v>16</v>
      </c>
      <c r="D458" t="s">
        <v>16</v>
      </c>
      <c r="E458" t="s">
        <v>16</v>
      </c>
      <c r="F458" t="s">
        <v>26</v>
      </c>
      <c r="G458" t="s">
        <v>26</v>
      </c>
      <c r="H458" t="s">
        <v>16</v>
      </c>
      <c r="I458" t="s">
        <v>16</v>
      </c>
      <c r="J458" t="s">
        <v>16</v>
      </c>
      <c r="K458" t="s">
        <v>16</v>
      </c>
      <c r="L458" t="s">
        <v>228</v>
      </c>
      <c r="M458" t="str">
        <f t="shared" ref="M458:M521" si="21">CONCATENATE(G458, L458)</f>
        <v>fecalwild</v>
      </c>
      <c r="N458" t="s">
        <v>228</v>
      </c>
      <c r="O458" t="s">
        <v>351</v>
      </c>
      <c r="P458" t="s">
        <v>432</v>
      </c>
      <c r="Q458" t="s">
        <v>16</v>
      </c>
    </row>
    <row r="459" spans="1:17" x14ac:dyDescent="0.2">
      <c r="A459" t="s">
        <v>433</v>
      </c>
      <c r="B459">
        <v>0.16223823600000001</v>
      </c>
      <c r="C459">
        <v>10.200644349999999</v>
      </c>
      <c r="D459">
        <v>0</v>
      </c>
      <c r="E459">
        <v>0</v>
      </c>
      <c r="F459" t="s">
        <v>19</v>
      </c>
      <c r="G459" t="s">
        <v>32</v>
      </c>
      <c r="H459" t="s">
        <v>16</v>
      </c>
      <c r="I459" t="s">
        <v>16</v>
      </c>
      <c r="J459" t="s">
        <v>16</v>
      </c>
      <c r="K459" t="s">
        <v>16</v>
      </c>
      <c r="L459" t="s">
        <v>228</v>
      </c>
      <c r="M459" t="str">
        <f t="shared" si="21"/>
        <v>abx_challengedwild</v>
      </c>
      <c r="N459" t="s">
        <v>228</v>
      </c>
      <c r="O459" t="s">
        <v>351</v>
      </c>
      <c r="P459" t="s">
        <v>432</v>
      </c>
      <c r="Q459">
        <v>0</v>
      </c>
    </row>
    <row r="460" spans="1:17" x14ac:dyDescent="0.2">
      <c r="A460" t="s">
        <v>1033</v>
      </c>
      <c r="B460">
        <v>0.16017973899999999</v>
      </c>
      <c r="C460">
        <v>259167021.09999999</v>
      </c>
      <c r="D460">
        <v>518334.04220000003</v>
      </c>
      <c r="E460">
        <v>103666808.40000001</v>
      </c>
      <c r="F460" t="s">
        <v>33</v>
      </c>
      <c r="G460" t="s">
        <v>32</v>
      </c>
      <c r="H460" t="s">
        <v>16</v>
      </c>
      <c r="I460" t="s">
        <v>16</v>
      </c>
      <c r="J460" t="s">
        <v>16</v>
      </c>
      <c r="K460" t="s">
        <v>16</v>
      </c>
      <c r="L460" t="s">
        <v>228</v>
      </c>
      <c r="M460" t="str">
        <f t="shared" si="21"/>
        <v>abx_challengedwild</v>
      </c>
      <c r="N460" t="s">
        <v>228</v>
      </c>
      <c r="O460" t="s">
        <v>351</v>
      </c>
      <c r="P460" t="s">
        <v>432</v>
      </c>
      <c r="Q460">
        <v>518334.04220000003</v>
      </c>
    </row>
    <row r="461" spans="1:17" x14ac:dyDescent="0.2">
      <c r="A461" t="s">
        <v>434</v>
      </c>
      <c r="B461" t="s">
        <v>16</v>
      </c>
      <c r="C461">
        <v>9363000.0130000003</v>
      </c>
      <c r="D461">
        <v>56178.000079999998</v>
      </c>
      <c r="E461">
        <v>11235600.02</v>
      </c>
      <c r="F461" t="s">
        <v>17</v>
      </c>
      <c r="G461" t="s">
        <v>32</v>
      </c>
      <c r="H461" t="s">
        <v>16</v>
      </c>
      <c r="I461" t="s">
        <v>16</v>
      </c>
      <c r="J461" t="s">
        <v>16</v>
      </c>
      <c r="K461" t="s">
        <v>16</v>
      </c>
      <c r="L461" t="s">
        <v>228</v>
      </c>
      <c r="M461" t="str">
        <f t="shared" si="21"/>
        <v>abx_challengedwild</v>
      </c>
      <c r="N461" t="s">
        <v>228</v>
      </c>
      <c r="O461" t="s">
        <v>351</v>
      </c>
      <c r="P461" t="s">
        <v>432</v>
      </c>
      <c r="Q461">
        <v>56178.000079999998</v>
      </c>
    </row>
    <row r="462" spans="1:17" x14ac:dyDescent="0.2">
      <c r="A462" t="s">
        <v>435</v>
      </c>
      <c r="B462" s="1">
        <v>0</v>
      </c>
      <c r="C462" t="s">
        <v>16</v>
      </c>
      <c r="D462">
        <v>0</v>
      </c>
      <c r="E462">
        <v>0</v>
      </c>
      <c r="F462" t="s">
        <v>19</v>
      </c>
      <c r="G462" t="s">
        <v>36</v>
      </c>
      <c r="H462" t="s">
        <v>37</v>
      </c>
      <c r="I462">
        <v>0</v>
      </c>
      <c r="J462" t="s">
        <v>37</v>
      </c>
      <c r="K462">
        <v>0</v>
      </c>
      <c r="L462" t="s">
        <v>228</v>
      </c>
      <c r="M462" t="str">
        <f t="shared" si="21"/>
        <v>controlwild</v>
      </c>
      <c r="N462" t="s">
        <v>228</v>
      </c>
      <c r="O462" t="s">
        <v>351</v>
      </c>
      <c r="P462" t="s">
        <v>432</v>
      </c>
      <c r="Q462" t="s">
        <v>16</v>
      </c>
    </row>
    <row r="463" spans="1:17" x14ac:dyDescent="0.2">
      <c r="A463" t="s">
        <v>1034</v>
      </c>
      <c r="B463" s="1">
        <v>0</v>
      </c>
      <c r="C463">
        <v>2290571593</v>
      </c>
      <c r="D463">
        <v>13743429.560000001</v>
      </c>
      <c r="E463">
        <v>2748685912</v>
      </c>
      <c r="F463" t="s">
        <v>33</v>
      </c>
      <c r="G463" t="s">
        <v>36</v>
      </c>
      <c r="H463" t="s">
        <v>38</v>
      </c>
      <c r="I463">
        <v>274172077.39999998</v>
      </c>
      <c r="J463" t="s">
        <v>38</v>
      </c>
      <c r="K463">
        <v>103666808.40000001</v>
      </c>
      <c r="L463" t="s">
        <v>228</v>
      </c>
      <c r="M463" t="str">
        <f t="shared" si="21"/>
        <v>controlwild</v>
      </c>
      <c r="N463" t="s">
        <v>228</v>
      </c>
      <c r="O463" t="s">
        <v>351</v>
      </c>
      <c r="P463" t="s">
        <v>432</v>
      </c>
      <c r="Q463" t="s">
        <v>16</v>
      </c>
    </row>
    <row r="464" spans="1:17" x14ac:dyDescent="0.2">
      <c r="A464" t="s">
        <v>436</v>
      </c>
      <c r="B464" s="1">
        <v>0</v>
      </c>
      <c r="C464" t="s">
        <v>16</v>
      </c>
      <c r="D464">
        <v>0</v>
      </c>
      <c r="E464">
        <v>0</v>
      </c>
      <c r="F464" t="s">
        <v>17</v>
      </c>
      <c r="G464" t="s">
        <v>36</v>
      </c>
      <c r="H464" t="s">
        <v>38</v>
      </c>
      <c r="I464">
        <v>82288416.760000005</v>
      </c>
      <c r="J464" t="s">
        <v>38</v>
      </c>
      <c r="K464">
        <v>11235600.02</v>
      </c>
      <c r="L464" t="s">
        <v>228</v>
      </c>
      <c r="M464" t="str">
        <f t="shared" si="21"/>
        <v>controlwild</v>
      </c>
      <c r="N464" t="s">
        <v>228</v>
      </c>
      <c r="O464" t="s">
        <v>351</v>
      </c>
      <c r="P464" t="s">
        <v>432</v>
      </c>
      <c r="Q464" t="s">
        <v>16</v>
      </c>
    </row>
    <row r="465" spans="1:17" x14ac:dyDescent="0.2">
      <c r="A465" t="s">
        <v>437</v>
      </c>
      <c r="B465">
        <v>0.111352932</v>
      </c>
      <c r="C465" t="s">
        <v>16</v>
      </c>
      <c r="D465">
        <v>0</v>
      </c>
      <c r="E465">
        <v>0</v>
      </c>
      <c r="F465" t="s">
        <v>19</v>
      </c>
      <c r="G465" t="s">
        <v>41</v>
      </c>
      <c r="H465" t="s">
        <v>16</v>
      </c>
      <c r="I465" t="s">
        <v>16</v>
      </c>
      <c r="J465" t="s">
        <v>16</v>
      </c>
      <c r="K465" t="s">
        <v>16</v>
      </c>
      <c r="L465" t="s">
        <v>228</v>
      </c>
      <c r="M465" t="str">
        <f t="shared" si="21"/>
        <v>challengedwild</v>
      </c>
      <c r="N465" t="s">
        <v>228</v>
      </c>
      <c r="O465" t="s">
        <v>351</v>
      </c>
      <c r="P465" t="s">
        <v>432</v>
      </c>
      <c r="Q465">
        <v>0</v>
      </c>
    </row>
    <row r="466" spans="1:17" x14ac:dyDescent="0.2">
      <c r="A466" t="s">
        <v>1035</v>
      </c>
      <c r="B466">
        <v>0.15230297500000001</v>
      </c>
      <c r="C466">
        <v>22847673.120000001</v>
      </c>
      <c r="D466">
        <v>1370860.3870000001</v>
      </c>
      <c r="E466">
        <v>274172077.39999998</v>
      </c>
      <c r="F466" t="s">
        <v>33</v>
      </c>
      <c r="G466" t="s">
        <v>41</v>
      </c>
      <c r="H466" t="s">
        <v>16</v>
      </c>
      <c r="I466" t="s">
        <v>16</v>
      </c>
      <c r="J466" t="s">
        <v>16</v>
      </c>
      <c r="K466" t="s">
        <v>16</v>
      </c>
      <c r="L466" t="s">
        <v>228</v>
      </c>
      <c r="M466" t="str">
        <f t="shared" si="21"/>
        <v>challengedwild</v>
      </c>
      <c r="N466" t="s">
        <v>228</v>
      </c>
      <c r="O466" t="s">
        <v>351</v>
      </c>
      <c r="P466" t="s">
        <v>432</v>
      </c>
      <c r="Q466">
        <v>959418.30330000003</v>
      </c>
    </row>
    <row r="467" spans="1:17" x14ac:dyDescent="0.2">
      <c r="A467" t="s">
        <v>438</v>
      </c>
      <c r="B467" t="s">
        <v>16</v>
      </c>
      <c r="C467">
        <v>6857368.0630000001</v>
      </c>
      <c r="D467">
        <v>411442.08380000002</v>
      </c>
      <c r="E467">
        <v>82288416.760000005</v>
      </c>
      <c r="F467" t="s">
        <v>17</v>
      </c>
      <c r="G467" t="s">
        <v>41</v>
      </c>
      <c r="H467" t="s">
        <v>16</v>
      </c>
      <c r="I467" t="s">
        <v>16</v>
      </c>
      <c r="J467" t="s">
        <v>16</v>
      </c>
      <c r="K467" t="s">
        <v>16</v>
      </c>
      <c r="L467" t="s">
        <v>228</v>
      </c>
      <c r="M467" t="str">
        <f t="shared" si="21"/>
        <v>challengedwild</v>
      </c>
      <c r="N467" t="s">
        <v>228</v>
      </c>
      <c r="O467" t="s">
        <v>351</v>
      </c>
      <c r="P467" t="s">
        <v>432</v>
      </c>
      <c r="Q467">
        <v>411442.08380000002</v>
      </c>
    </row>
    <row r="468" spans="1:17" x14ac:dyDescent="0.2">
      <c r="A468" t="s">
        <v>439</v>
      </c>
      <c r="B468" t="s">
        <v>16</v>
      </c>
      <c r="C468" t="s">
        <v>16</v>
      </c>
      <c r="D468" t="s">
        <v>16</v>
      </c>
      <c r="E468" t="s">
        <v>16</v>
      </c>
      <c r="F468" t="s">
        <v>26</v>
      </c>
      <c r="G468" t="s">
        <v>26</v>
      </c>
      <c r="H468" t="s">
        <v>16</v>
      </c>
      <c r="I468" t="s">
        <v>16</v>
      </c>
      <c r="J468" t="s">
        <v>16</v>
      </c>
      <c r="K468" t="s">
        <v>16</v>
      </c>
      <c r="L468" t="s">
        <v>228</v>
      </c>
      <c r="M468" t="str">
        <f t="shared" si="21"/>
        <v>fecalwild</v>
      </c>
      <c r="N468" t="s">
        <v>228</v>
      </c>
      <c r="O468" t="s">
        <v>351</v>
      </c>
      <c r="P468" t="s">
        <v>440</v>
      </c>
      <c r="Q468" t="s">
        <v>16</v>
      </c>
    </row>
    <row r="469" spans="1:17" x14ac:dyDescent="0.2">
      <c r="A469" t="s">
        <v>441</v>
      </c>
      <c r="B469" t="s">
        <v>16</v>
      </c>
      <c r="C469">
        <v>477.77702199999999</v>
      </c>
      <c r="D469">
        <v>44.238613149999999</v>
      </c>
      <c r="E469">
        <v>8847.7226300000002</v>
      </c>
      <c r="F469" t="s">
        <v>19</v>
      </c>
      <c r="G469" t="s">
        <v>32</v>
      </c>
      <c r="H469" t="s">
        <v>16</v>
      </c>
      <c r="I469" t="s">
        <v>16</v>
      </c>
      <c r="J469" t="s">
        <v>16</v>
      </c>
      <c r="K469" t="s">
        <v>16</v>
      </c>
      <c r="L469" t="s">
        <v>228</v>
      </c>
      <c r="M469" t="str">
        <f t="shared" si="21"/>
        <v>abx_challengedwild</v>
      </c>
      <c r="N469" t="s">
        <v>228</v>
      </c>
      <c r="O469" t="s">
        <v>351</v>
      </c>
      <c r="P469" t="s">
        <v>440</v>
      </c>
      <c r="Q469">
        <v>44.238613149999999</v>
      </c>
    </row>
    <row r="470" spans="1:17" x14ac:dyDescent="0.2">
      <c r="A470" t="s">
        <v>1036</v>
      </c>
      <c r="B470">
        <v>0.14144979899999999</v>
      </c>
      <c r="C470">
        <v>133871210.09999999</v>
      </c>
      <c r="D470">
        <v>267742.42009999999</v>
      </c>
      <c r="E470">
        <v>53548484.020000003</v>
      </c>
      <c r="F470" t="s">
        <v>33</v>
      </c>
      <c r="G470" t="s">
        <v>32</v>
      </c>
      <c r="H470" t="s">
        <v>16</v>
      </c>
      <c r="I470" t="s">
        <v>16</v>
      </c>
      <c r="J470" t="s">
        <v>16</v>
      </c>
      <c r="K470" t="s">
        <v>16</v>
      </c>
      <c r="L470" t="s">
        <v>228</v>
      </c>
      <c r="M470" t="str">
        <f t="shared" si="21"/>
        <v>abx_challengedwild</v>
      </c>
      <c r="N470" t="s">
        <v>228</v>
      </c>
      <c r="O470" t="s">
        <v>351</v>
      </c>
      <c r="P470" t="s">
        <v>440</v>
      </c>
      <c r="Q470">
        <v>228903.36139999999</v>
      </c>
    </row>
    <row r="471" spans="1:17" x14ac:dyDescent="0.2">
      <c r="A471" t="s">
        <v>442</v>
      </c>
      <c r="B471">
        <v>0.18656608499999999</v>
      </c>
      <c r="C471">
        <v>6473176.4450000003</v>
      </c>
      <c r="D471">
        <v>38839.058669999999</v>
      </c>
      <c r="E471">
        <v>7767811.7340000002</v>
      </c>
      <c r="F471" t="s">
        <v>17</v>
      </c>
      <c r="G471" t="s">
        <v>32</v>
      </c>
      <c r="H471" t="s">
        <v>16</v>
      </c>
      <c r="I471" t="s">
        <v>16</v>
      </c>
      <c r="J471" t="s">
        <v>16</v>
      </c>
      <c r="K471" t="s">
        <v>16</v>
      </c>
      <c r="L471" t="s">
        <v>228</v>
      </c>
      <c r="M471" t="str">
        <f t="shared" si="21"/>
        <v>abx_challengedwild</v>
      </c>
      <c r="N471" t="s">
        <v>228</v>
      </c>
      <c r="O471" t="s">
        <v>351</v>
      </c>
      <c r="P471" t="s">
        <v>440</v>
      </c>
      <c r="Q471">
        <v>38839.058669999999</v>
      </c>
    </row>
    <row r="472" spans="1:17" x14ac:dyDescent="0.2">
      <c r="A472" t="s">
        <v>443</v>
      </c>
      <c r="B472" s="1">
        <v>0</v>
      </c>
      <c r="C472" t="s">
        <v>16</v>
      </c>
      <c r="D472">
        <v>0</v>
      </c>
      <c r="E472">
        <v>0</v>
      </c>
      <c r="F472" t="s">
        <v>19</v>
      </c>
      <c r="G472" t="s">
        <v>36</v>
      </c>
      <c r="H472" t="s">
        <v>37</v>
      </c>
      <c r="I472">
        <v>2049.216152</v>
      </c>
      <c r="J472" t="s">
        <v>37</v>
      </c>
      <c r="K472">
        <v>8847.7226300000002</v>
      </c>
      <c r="L472" t="s">
        <v>228</v>
      </c>
      <c r="M472" t="str">
        <f t="shared" si="21"/>
        <v>controlwild</v>
      </c>
      <c r="N472" t="s">
        <v>228</v>
      </c>
      <c r="O472" t="s">
        <v>351</v>
      </c>
      <c r="P472" t="s">
        <v>440</v>
      </c>
      <c r="Q472" t="s">
        <v>16</v>
      </c>
    </row>
    <row r="473" spans="1:17" x14ac:dyDescent="0.2">
      <c r="A473" t="s">
        <v>1037</v>
      </c>
      <c r="B473" s="1">
        <v>0</v>
      </c>
      <c r="C473">
        <v>60984275.82</v>
      </c>
      <c r="D473">
        <v>365905.65490000002</v>
      </c>
      <c r="E473">
        <v>73181130.980000004</v>
      </c>
      <c r="F473" t="s">
        <v>33</v>
      </c>
      <c r="G473" t="s">
        <v>36</v>
      </c>
      <c r="H473" t="s">
        <v>38</v>
      </c>
      <c r="I473">
        <v>903158858.39999998</v>
      </c>
      <c r="J473" t="s">
        <v>38</v>
      </c>
      <c r="K473">
        <v>53548484.020000003</v>
      </c>
      <c r="L473" t="s">
        <v>228</v>
      </c>
      <c r="M473" t="str">
        <f t="shared" si="21"/>
        <v>controlwild</v>
      </c>
      <c r="N473" t="s">
        <v>228</v>
      </c>
      <c r="O473" t="s">
        <v>351</v>
      </c>
      <c r="P473" t="s">
        <v>440</v>
      </c>
      <c r="Q473" t="s">
        <v>16</v>
      </c>
    </row>
    <row r="474" spans="1:17" x14ac:dyDescent="0.2">
      <c r="A474" t="s">
        <v>444</v>
      </c>
      <c r="B474" s="1">
        <v>0</v>
      </c>
      <c r="C474" t="s">
        <v>16</v>
      </c>
      <c r="D474">
        <v>0</v>
      </c>
      <c r="E474">
        <v>0</v>
      </c>
      <c r="F474" t="s">
        <v>17</v>
      </c>
      <c r="G474" t="s">
        <v>36</v>
      </c>
      <c r="H474" t="s">
        <v>38</v>
      </c>
      <c r="I474">
        <v>6166005.04</v>
      </c>
      <c r="J474" t="s">
        <v>38</v>
      </c>
      <c r="K474">
        <v>7767811.7340000002</v>
      </c>
      <c r="L474" t="s">
        <v>228</v>
      </c>
      <c r="M474" t="str">
        <f t="shared" si="21"/>
        <v>controlwild</v>
      </c>
      <c r="N474" t="s">
        <v>228</v>
      </c>
      <c r="O474" t="s">
        <v>351</v>
      </c>
      <c r="P474" t="s">
        <v>440</v>
      </c>
      <c r="Q474" t="s">
        <v>16</v>
      </c>
    </row>
    <row r="475" spans="1:17" x14ac:dyDescent="0.2">
      <c r="A475" t="s">
        <v>445</v>
      </c>
      <c r="B475" t="s">
        <v>16</v>
      </c>
      <c r="C475">
        <v>110.65767219999999</v>
      </c>
      <c r="D475">
        <v>10.24608076</v>
      </c>
      <c r="E475">
        <v>2049.216152</v>
      </c>
      <c r="F475" t="s">
        <v>19</v>
      </c>
      <c r="G475" t="s">
        <v>41</v>
      </c>
      <c r="H475" t="s">
        <v>16</v>
      </c>
      <c r="I475" t="s">
        <v>16</v>
      </c>
      <c r="J475" t="s">
        <v>16</v>
      </c>
      <c r="K475" t="s">
        <v>16</v>
      </c>
      <c r="L475" t="s">
        <v>228</v>
      </c>
      <c r="M475" t="str">
        <f t="shared" si="21"/>
        <v>challengedwild</v>
      </c>
      <c r="N475" t="s">
        <v>228</v>
      </c>
      <c r="O475" t="s">
        <v>351</v>
      </c>
      <c r="P475" t="s">
        <v>440</v>
      </c>
      <c r="Q475">
        <v>10.24608076</v>
      </c>
    </row>
    <row r="476" spans="1:17" x14ac:dyDescent="0.2">
      <c r="A476" t="s">
        <v>1038</v>
      </c>
      <c r="B476">
        <v>2.3661532999999998E-2</v>
      </c>
      <c r="C476">
        <v>75263238.200000003</v>
      </c>
      <c r="D476">
        <v>4515794.2920000004</v>
      </c>
      <c r="E476">
        <v>903158858.39999998</v>
      </c>
      <c r="F476" t="s">
        <v>33</v>
      </c>
      <c r="G476" t="s">
        <v>41</v>
      </c>
      <c r="H476" t="s">
        <v>16</v>
      </c>
      <c r="I476" t="s">
        <v>16</v>
      </c>
      <c r="J476" t="s">
        <v>16</v>
      </c>
      <c r="K476" t="s">
        <v>16</v>
      </c>
      <c r="L476" t="s">
        <v>228</v>
      </c>
      <c r="M476" t="str">
        <f t="shared" si="21"/>
        <v>challengedwild</v>
      </c>
      <c r="N476" t="s">
        <v>228</v>
      </c>
      <c r="O476" t="s">
        <v>351</v>
      </c>
      <c r="P476" t="s">
        <v>440</v>
      </c>
      <c r="Q476">
        <v>829977727.5</v>
      </c>
    </row>
    <row r="477" spans="1:17" x14ac:dyDescent="0.2">
      <c r="A477" t="s">
        <v>446</v>
      </c>
      <c r="B477">
        <v>9.4244415999999998E-2</v>
      </c>
      <c r="C477">
        <v>513833.75329999998</v>
      </c>
      <c r="D477">
        <v>30830.0252</v>
      </c>
      <c r="E477">
        <v>6166005.04</v>
      </c>
      <c r="F477" t="s">
        <v>17</v>
      </c>
      <c r="G477" t="s">
        <v>41</v>
      </c>
      <c r="H477" t="s">
        <v>16</v>
      </c>
      <c r="I477" t="s">
        <v>16</v>
      </c>
      <c r="J477" t="s">
        <v>16</v>
      </c>
      <c r="K477" t="s">
        <v>16</v>
      </c>
      <c r="L477" t="s">
        <v>228</v>
      </c>
      <c r="M477" t="str">
        <f t="shared" si="21"/>
        <v>challengedwild</v>
      </c>
      <c r="N477" t="s">
        <v>228</v>
      </c>
      <c r="O477" t="s">
        <v>351</v>
      </c>
      <c r="P477" t="s">
        <v>440</v>
      </c>
      <c r="Q477">
        <v>30830.0252</v>
      </c>
    </row>
    <row r="478" spans="1:17" x14ac:dyDescent="0.2">
      <c r="A478" t="s">
        <v>447</v>
      </c>
      <c r="B478" t="s">
        <v>16</v>
      </c>
      <c r="C478" t="s">
        <v>16</v>
      </c>
      <c r="D478" t="s">
        <v>16</v>
      </c>
      <c r="E478" t="s">
        <v>16</v>
      </c>
      <c r="F478" t="s">
        <v>26</v>
      </c>
      <c r="G478" t="s">
        <v>26</v>
      </c>
      <c r="H478" t="s">
        <v>16</v>
      </c>
      <c r="I478" t="s">
        <v>16</v>
      </c>
      <c r="J478" t="s">
        <v>16</v>
      </c>
      <c r="K478" t="s">
        <v>16</v>
      </c>
      <c r="L478" t="s">
        <v>228</v>
      </c>
      <c r="M478" t="str">
        <f t="shared" si="21"/>
        <v>fecalwild</v>
      </c>
      <c r="N478" t="s">
        <v>228</v>
      </c>
      <c r="O478" t="s">
        <v>351</v>
      </c>
      <c r="P478" t="s">
        <v>448</v>
      </c>
      <c r="Q478" t="s">
        <v>16</v>
      </c>
    </row>
    <row r="479" spans="1:17" x14ac:dyDescent="0.2">
      <c r="A479" t="s">
        <v>449</v>
      </c>
      <c r="B479" t="s">
        <v>16</v>
      </c>
      <c r="C479" t="s">
        <v>16</v>
      </c>
      <c r="D479">
        <v>0</v>
      </c>
      <c r="E479">
        <v>0</v>
      </c>
      <c r="F479" t="s">
        <v>19</v>
      </c>
      <c r="G479" t="s">
        <v>91</v>
      </c>
      <c r="H479" t="s">
        <v>16</v>
      </c>
      <c r="I479" t="s">
        <v>16</v>
      </c>
      <c r="J479" t="s">
        <v>16</v>
      </c>
      <c r="K479" t="s">
        <v>16</v>
      </c>
      <c r="L479" t="s">
        <v>228</v>
      </c>
      <c r="M479" t="str">
        <f t="shared" si="21"/>
        <v>ABXwild</v>
      </c>
      <c r="N479" t="s">
        <v>228</v>
      </c>
      <c r="O479" t="s">
        <v>351</v>
      </c>
      <c r="P479" t="s">
        <v>448</v>
      </c>
      <c r="Q479">
        <v>0</v>
      </c>
    </row>
    <row r="480" spans="1:17" x14ac:dyDescent="0.2">
      <c r="A480" t="s">
        <v>450</v>
      </c>
      <c r="B480">
        <v>0.13972880200000001</v>
      </c>
      <c r="C480">
        <v>55.676008209999999</v>
      </c>
      <c r="D480">
        <v>0</v>
      </c>
      <c r="E480">
        <v>0</v>
      </c>
      <c r="F480" t="s">
        <v>19</v>
      </c>
      <c r="G480" t="s">
        <v>32</v>
      </c>
      <c r="H480" t="s">
        <v>16</v>
      </c>
      <c r="I480" t="s">
        <v>16</v>
      </c>
      <c r="J480" t="s">
        <v>16</v>
      </c>
      <c r="K480" t="s">
        <v>16</v>
      </c>
      <c r="L480" t="s">
        <v>228</v>
      </c>
      <c r="M480" t="str">
        <f t="shared" si="21"/>
        <v>abx_challengedwild</v>
      </c>
      <c r="N480" t="s">
        <v>228</v>
      </c>
      <c r="O480" t="s">
        <v>351</v>
      </c>
      <c r="P480" t="s">
        <v>448</v>
      </c>
      <c r="Q480">
        <v>0</v>
      </c>
    </row>
    <row r="481" spans="1:17" x14ac:dyDescent="0.2">
      <c r="A481" t="s">
        <v>1039</v>
      </c>
      <c r="B481">
        <v>0.112367733</v>
      </c>
      <c r="C481">
        <v>394664105.69999999</v>
      </c>
      <c r="D481">
        <v>789328.21129999997</v>
      </c>
      <c r="E481">
        <v>157865642.30000001</v>
      </c>
      <c r="F481" t="s">
        <v>33</v>
      </c>
      <c r="G481" t="s">
        <v>32</v>
      </c>
      <c r="H481" t="s">
        <v>16</v>
      </c>
      <c r="I481" t="s">
        <v>16</v>
      </c>
      <c r="J481" t="s">
        <v>16</v>
      </c>
      <c r="K481" t="s">
        <v>16</v>
      </c>
      <c r="L481" t="s">
        <v>228</v>
      </c>
      <c r="M481" t="str">
        <f t="shared" si="21"/>
        <v>abx_challengedwild</v>
      </c>
      <c r="N481" t="s">
        <v>228</v>
      </c>
      <c r="O481" t="s">
        <v>351</v>
      </c>
      <c r="P481" t="s">
        <v>448</v>
      </c>
      <c r="Q481">
        <v>789328.21129999997</v>
      </c>
    </row>
    <row r="482" spans="1:17" x14ac:dyDescent="0.2">
      <c r="A482" t="s">
        <v>451</v>
      </c>
      <c r="B482">
        <v>0.20526193600000001</v>
      </c>
      <c r="C482">
        <v>10659429.699999999</v>
      </c>
      <c r="D482">
        <v>63956.578220000003</v>
      </c>
      <c r="E482">
        <v>12791315.640000001</v>
      </c>
      <c r="F482" t="s">
        <v>17</v>
      </c>
      <c r="G482" t="s">
        <v>32</v>
      </c>
      <c r="H482" t="s">
        <v>16</v>
      </c>
      <c r="I482" t="s">
        <v>16</v>
      </c>
      <c r="J482" t="s">
        <v>16</v>
      </c>
      <c r="K482" t="s">
        <v>16</v>
      </c>
      <c r="L482" t="s">
        <v>228</v>
      </c>
      <c r="M482" t="str">
        <f t="shared" si="21"/>
        <v>abx_challengedwild</v>
      </c>
      <c r="N482" t="s">
        <v>228</v>
      </c>
      <c r="O482" t="s">
        <v>351</v>
      </c>
      <c r="P482" t="s">
        <v>448</v>
      </c>
      <c r="Q482">
        <v>63956.578220000003</v>
      </c>
    </row>
    <row r="483" spans="1:17" x14ac:dyDescent="0.2">
      <c r="A483" t="s">
        <v>452</v>
      </c>
      <c r="B483" s="1">
        <v>0</v>
      </c>
      <c r="C483" t="s">
        <v>16</v>
      </c>
      <c r="D483">
        <v>0</v>
      </c>
      <c r="E483">
        <v>0</v>
      </c>
      <c r="F483" t="s">
        <v>19</v>
      </c>
      <c r="G483" t="s">
        <v>36</v>
      </c>
      <c r="H483" t="s">
        <v>37</v>
      </c>
      <c r="I483">
        <v>0</v>
      </c>
      <c r="J483" t="s">
        <v>37</v>
      </c>
      <c r="K483">
        <v>0</v>
      </c>
      <c r="L483" t="s">
        <v>228</v>
      </c>
      <c r="M483" t="str">
        <f t="shared" si="21"/>
        <v>controlwild</v>
      </c>
      <c r="N483" t="s">
        <v>228</v>
      </c>
      <c r="O483" t="s">
        <v>351</v>
      </c>
      <c r="P483" t="s">
        <v>448</v>
      </c>
      <c r="Q483" t="s">
        <v>16</v>
      </c>
    </row>
    <row r="484" spans="1:17" x14ac:dyDescent="0.2">
      <c r="A484" t="s">
        <v>1040</v>
      </c>
      <c r="B484" s="1">
        <v>0</v>
      </c>
      <c r="C484">
        <v>1778839342</v>
      </c>
      <c r="D484">
        <v>10673036.050000001</v>
      </c>
      <c r="E484">
        <v>2134607210</v>
      </c>
      <c r="F484" t="s">
        <v>33</v>
      </c>
      <c r="G484" t="s">
        <v>36</v>
      </c>
      <c r="H484" t="s">
        <v>38</v>
      </c>
      <c r="I484">
        <v>1145017823</v>
      </c>
      <c r="J484" t="s">
        <v>38</v>
      </c>
      <c r="K484">
        <v>157865642.30000001</v>
      </c>
      <c r="L484" t="s">
        <v>228</v>
      </c>
      <c r="M484" t="str">
        <f t="shared" si="21"/>
        <v>controlwild</v>
      </c>
      <c r="N484" t="s">
        <v>228</v>
      </c>
      <c r="O484" t="s">
        <v>351</v>
      </c>
      <c r="P484" t="s">
        <v>448</v>
      </c>
      <c r="Q484" t="s">
        <v>16</v>
      </c>
    </row>
    <row r="485" spans="1:17" x14ac:dyDescent="0.2">
      <c r="A485" t="s">
        <v>453</v>
      </c>
      <c r="B485" s="1">
        <v>0</v>
      </c>
      <c r="C485" t="s">
        <v>16</v>
      </c>
      <c r="D485">
        <v>0</v>
      </c>
      <c r="E485">
        <v>0</v>
      </c>
      <c r="F485" t="s">
        <v>17</v>
      </c>
      <c r="G485" t="s">
        <v>36</v>
      </c>
      <c r="H485" t="s">
        <v>38</v>
      </c>
      <c r="I485">
        <v>279262559</v>
      </c>
      <c r="J485" t="s">
        <v>38</v>
      </c>
      <c r="K485">
        <v>12791315.640000001</v>
      </c>
      <c r="L485" t="s">
        <v>228</v>
      </c>
      <c r="M485" t="str">
        <f t="shared" si="21"/>
        <v>controlwild</v>
      </c>
      <c r="N485" t="s">
        <v>228</v>
      </c>
      <c r="O485" t="s">
        <v>351</v>
      </c>
      <c r="P485" t="s">
        <v>448</v>
      </c>
      <c r="Q485" t="s">
        <v>16</v>
      </c>
    </row>
    <row r="486" spans="1:17" x14ac:dyDescent="0.2">
      <c r="A486" t="s">
        <v>1041</v>
      </c>
      <c r="B486">
        <v>0.15373636900000001</v>
      </c>
      <c r="C486">
        <v>95418151.920000002</v>
      </c>
      <c r="D486">
        <v>5725089.1150000002</v>
      </c>
      <c r="E486">
        <v>1145017823</v>
      </c>
      <c r="F486" t="s">
        <v>33</v>
      </c>
      <c r="G486" t="s">
        <v>41</v>
      </c>
      <c r="H486" t="s">
        <v>16</v>
      </c>
      <c r="I486" t="s">
        <v>16</v>
      </c>
      <c r="J486" t="s">
        <v>16</v>
      </c>
      <c r="K486" t="s">
        <v>16</v>
      </c>
      <c r="L486" t="s">
        <v>228</v>
      </c>
      <c r="M486" t="str">
        <f t="shared" si="21"/>
        <v>challengedwild</v>
      </c>
      <c r="N486" t="s">
        <v>228</v>
      </c>
      <c r="O486" t="s">
        <v>351</v>
      </c>
      <c r="P486" t="s">
        <v>448</v>
      </c>
      <c r="Q486">
        <v>4328776.32</v>
      </c>
    </row>
    <row r="487" spans="1:17" x14ac:dyDescent="0.2">
      <c r="A487" t="s">
        <v>454</v>
      </c>
      <c r="B487">
        <v>0.144697409</v>
      </c>
      <c r="C487">
        <v>23271879.91</v>
      </c>
      <c r="D487">
        <v>1396312.7949999999</v>
      </c>
      <c r="E487">
        <v>279262559</v>
      </c>
      <c r="F487" t="s">
        <v>17</v>
      </c>
      <c r="G487" t="s">
        <v>41</v>
      </c>
      <c r="H487" t="s">
        <v>16</v>
      </c>
      <c r="I487" t="s">
        <v>16</v>
      </c>
      <c r="J487" t="s">
        <v>16</v>
      </c>
      <c r="K487" t="s">
        <v>16</v>
      </c>
      <c r="L487" t="s">
        <v>228</v>
      </c>
      <c r="M487" t="str">
        <f t="shared" si="21"/>
        <v>challengedwild</v>
      </c>
      <c r="N487" t="s">
        <v>228</v>
      </c>
      <c r="O487" t="s">
        <v>351</v>
      </c>
      <c r="P487" t="s">
        <v>448</v>
      </c>
      <c r="Q487">
        <v>1396312.7949999999</v>
      </c>
    </row>
    <row r="488" spans="1:17" x14ac:dyDescent="0.2">
      <c r="A488" t="s">
        <v>455</v>
      </c>
      <c r="B488" t="s">
        <v>16</v>
      </c>
      <c r="C488" t="s">
        <v>16</v>
      </c>
      <c r="D488" t="s">
        <v>16</v>
      </c>
      <c r="E488" t="s">
        <v>16</v>
      </c>
      <c r="F488" t="s">
        <v>26</v>
      </c>
      <c r="G488" t="s">
        <v>26</v>
      </c>
      <c r="H488" t="s">
        <v>16</v>
      </c>
      <c r="I488" t="s">
        <v>16</v>
      </c>
      <c r="J488" t="s">
        <v>16</v>
      </c>
      <c r="K488" t="s">
        <v>16</v>
      </c>
      <c r="L488" t="s">
        <v>228</v>
      </c>
      <c r="M488" t="str">
        <f t="shared" si="21"/>
        <v>fecalwild</v>
      </c>
      <c r="N488" t="s">
        <v>228</v>
      </c>
      <c r="O488" t="s">
        <v>351</v>
      </c>
      <c r="P488" t="s">
        <v>456</v>
      </c>
      <c r="Q488" t="s">
        <v>16</v>
      </c>
    </row>
    <row r="489" spans="1:17" x14ac:dyDescent="0.2">
      <c r="A489" t="s">
        <v>457</v>
      </c>
      <c r="B489">
        <v>0.131819728</v>
      </c>
      <c r="C489">
        <v>82.882187799999997</v>
      </c>
      <c r="D489">
        <v>0</v>
      </c>
      <c r="E489">
        <v>0</v>
      </c>
      <c r="F489" t="s">
        <v>19</v>
      </c>
      <c r="G489" t="s">
        <v>32</v>
      </c>
      <c r="H489" t="s">
        <v>16</v>
      </c>
      <c r="I489" t="s">
        <v>16</v>
      </c>
      <c r="J489" t="s">
        <v>16</v>
      </c>
      <c r="K489" t="s">
        <v>16</v>
      </c>
      <c r="L489" t="s">
        <v>228</v>
      </c>
      <c r="M489" t="str">
        <f t="shared" si="21"/>
        <v>abx_challengedwild</v>
      </c>
      <c r="N489" t="s">
        <v>228</v>
      </c>
      <c r="O489" t="s">
        <v>351</v>
      </c>
      <c r="P489" t="s">
        <v>456</v>
      </c>
      <c r="Q489">
        <v>0</v>
      </c>
    </row>
    <row r="490" spans="1:17" x14ac:dyDescent="0.2">
      <c r="A490" t="s">
        <v>1042</v>
      </c>
      <c r="B490">
        <v>0.13535077300000001</v>
      </c>
      <c r="C490">
        <v>137242961.5</v>
      </c>
      <c r="D490">
        <v>274485.92300000001</v>
      </c>
      <c r="E490">
        <v>54897184.600000001</v>
      </c>
      <c r="F490" t="s">
        <v>33</v>
      </c>
      <c r="G490" t="s">
        <v>32</v>
      </c>
      <c r="H490" t="s">
        <v>16</v>
      </c>
      <c r="I490" t="s">
        <v>16</v>
      </c>
      <c r="J490" t="s">
        <v>16</v>
      </c>
      <c r="K490" t="s">
        <v>16</v>
      </c>
      <c r="L490" t="s">
        <v>228</v>
      </c>
      <c r="M490" t="str">
        <f t="shared" si="21"/>
        <v>abx_challengedwild</v>
      </c>
      <c r="N490" t="s">
        <v>228</v>
      </c>
      <c r="O490" t="s">
        <v>351</v>
      </c>
      <c r="P490" t="s">
        <v>456</v>
      </c>
      <c r="Q490">
        <v>215421.4031</v>
      </c>
    </row>
    <row r="491" spans="1:17" x14ac:dyDescent="0.2">
      <c r="A491" t="s">
        <v>458</v>
      </c>
      <c r="B491">
        <v>0.20599145999999999</v>
      </c>
      <c r="C491">
        <v>9844086.6500000004</v>
      </c>
      <c r="D491">
        <v>59064.519899999999</v>
      </c>
      <c r="E491">
        <v>11812903.98</v>
      </c>
      <c r="F491" t="s">
        <v>17</v>
      </c>
      <c r="G491" t="s">
        <v>32</v>
      </c>
      <c r="H491" t="s">
        <v>16</v>
      </c>
      <c r="I491" t="s">
        <v>16</v>
      </c>
      <c r="J491" t="s">
        <v>16</v>
      </c>
      <c r="K491" t="s">
        <v>16</v>
      </c>
      <c r="L491" t="s">
        <v>228</v>
      </c>
      <c r="M491" t="str">
        <f t="shared" si="21"/>
        <v>abx_challengedwild</v>
      </c>
      <c r="N491" t="s">
        <v>228</v>
      </c>
      <c r="O491" t="s">
        <v>351</v>
      </c>
      <c r="P491" t="s">
        <v>456</v>
      </c>
      <c r="Q491">
        <v>59064.519899999999</v>
      </c>
    </row>
    <row r="492" spans="1:17" x14ac:dyDescent="0.2">
      <c r="A492" t="s">
        <v>459</v>
      </c>
      <c r="B492" s="1">
        <v>0</v>
      </c>
      <c r="C492" t="s">
        <v>16</v>
      </c>
      <c r="D492">
        <v>0</v>
      </c>
      <c r="E492">
        <v>0</v>
      </c>
      <c r="F492" t="s">
        <v>19</v>
      </c>
      <c r="G492" t="s">
        <v>36</v>
      </c>
      <c r="H492" t="s">
        <v>37</v>
      </c>
      <c r="I492">
        <v>0</v>
      </c>
      <c r="J492" t="s">
        <v>37</v>
      </c>
      <c r="K492">
        <v>0</v>
      </c>
      <c r="L492" t="s">
        <v>228</v>
      </c>
      <c r="M492" t="str">
        <f t="shared" si="21"/>
        <v>controlwild</v>
      </c>
      <c r="N492" t="s">
        <v>228</v>
      </c>
      <c r="O492" t="s">
        <v>351</v>
      </c>
      <c r="P492" t="s">
        <v>456</v>
      </c>
      <c r="Q492" t="s">
        <v>16</v>
      </c>
    </row>
    <row r="493" spans="1:17" x14ac:dyDescent="0.2">
      <c r="A493" t="s">
        <v>1043</v>
      </c>
      <c r="B493" s="1">
        <v>0</v>
      </c>
      <c r="C493">
        <v>128955930.59999999</v>
      </c>
      <c r="D493">
        <v>773735.58389999997</v>
      </c>
      <c r="E493">
        <v>154747116.80000001</v>
      </c>
      <c r="F493" t="s">
        <v>33</v>
      </c>
      <c r="G493" t="s">
        <v>36</v>
      </c>
      <c r="H493" t="s">
        <v>38</v>
      </c>
      <c r="I493">
        <v>3852074342</v>
      </c>
      <c r="J493" t="s">
        <v>38</v>
      </c>
      <c r="K493">
        <v>54897184.600000001</v>
      </c>
      <c r="L493" t="s">
        <v>228</v>
      </c>
      <c r="M493" t="str">
        <f t="shared" si="21"/>
        <v>controlwild</v>
      </c>
      <c r="N493" t="s">
        <v>228</v>
      </c>
      <c r="O493" t="s">
        <v>351</v>
      </c>
      <c r="P493" t="s">
        <v>456</v>
      </c>
      <c r="Q493" t="s">
        <v>16</v>
      </c>
    </row>
    <row r="494" spans="1:17" x14ac:dyDescent="0.2">
      <c r="A494" t="s">
        <v>460</v>
      </c>
      <c r="B494" s="1">
        <v>0</v>
      </c>
      <c r="C494" t="s">
        <v>16</v>
      </c>
      <c r="D494">
        <v>0</v>
      </c>
      <c r="E494">
        <v>0</v>
      </c>
      <c r="F494" t="s">
        <v>17</v>
      </c>
      <c r="G494" t="s">
        <v>36</v>
      </c>
      <c r="H494" t="s">
        <v>38</v>
      </c>
      <c r="I494">
        <v>304252399.5</v>
      </c>
      <c r="J494" t="s">
        <v>38</v>
      </c>
      <c r="K494">
        <v>11812903.98</v>
      </c>
      <c r="L494" t="s">
        <v>228</v>
      </c>
      <c r="M494" t="str">
        <f t="shared" si="21"/>
        <v>controlwild</v>
      </c>
      <c r="N494" t="s">
        <v>228</v>
      </c>
      <c r="O494" t="s">
        <v>351</v>
      </c>
      <c r="P494" t="s">
        <v>456</v>
      </c>
      <c r="Q494" t="s">
        <v>16</v>
      </c>
    </row>
    <row r="495" spans="1:17" x14ac:dyDescent="0.2">
      <c r="A495" t="s">
        <v>461</v>
      </c>
      <c r="B495">
        <v>6.8972620999999998E-2</v>
      </c>
      <c r="C495">
        <v>1.250978234</v>
      </c>
      <c r="D495">
        <v>0</v>
      </c>
      <c r="E495">
        <v>0</v>
      </c>
      <c r="F495" t="s">
        <v>19</v>
      </c>
      <c r="G495" t="s">
        <v>41</v>
      </c>
      <c r="H495" t="s">
        <v>16</v>
      </c>
      <c r="I495" t="s">
        <v>16</v>
      </c>
      <c r="J495" t="s">
        <v>16</v>
      </c>
      <c r="K495" t="s">
        <v>16</v>
      </c>
      <c r="L495" t="s">
        <v>228</v>
      </c>
      <c r="M495" t="str">
        <f t="shared" si="21"/>
        <v>challengedwild</v>
      </c>
      <c r="N495" t="s">
        <v>228</v>
      </c>
      <c r="O495" t="s">
        <v>351</v>
      </c>
      <c r="P495" t="s">
        <v>456</v>
      </c>
      <c r="Q495">
        <v>0</v>
      </c>
    </row>
    <row r="496" spans="1:17" x14ac:dyDescent="0.2">
      <c r="A496" t="s">
        <v>1044</v>
      </c>
      <c r="B496">
        <v>0.198991996</v>
      </c>
      <c r="C496">
        <v>321006195.19999999</v>
      </c>
      <c r="D496">
        <v>19260371.710000001</v>
      </c>
      <c r="E496">
        <v>3852074342</v>
      </c>
      <c r="F496" t="s">
        <v>33</v>
      </c>
      <c r="G496" t="s">
        <v>41</v>
      </c>
      <c r="H496" t="s">
        <v>16</v>
      </c>
      <c r="I496" t="s">
        <v>16</v>
      </c>
      <c r="J496" t="s">
        <v>16</v>
      </c>
      <c r="K496" t="s">
        <v>16</v>
      </c>
      <c r="L496" t="s">
        <v>228</v>
      </c>
      <c r="M496" t="str">
        <f t="shared" si="21"/>
        <v>challengedwild</v>
      </c>
      <c r="N496" t="s">
        <v>228</v>
      </c>
      <c r="O496" t="s">
        <v>351</v>
      </c>
      <c r="P496" t="s">
        <v>456</v>
      </c>
      <c r="Q496">
        <v>19260371.710000001</v>
      </c>
    </row>
    <row r="497" spans="1:17" x14ac:dyDescent="0.2">
      <c r="A497" t="s">
        <v>462</v>
      </c>
      <c r="B497">
        <v>0.19018837</v>
      </c>
      <c r="C497">
        <v>25354366.629999999</v>
      </c>
      <c r="D497">
        <v>1521261.9979999999</v>
      </c>
      <c r="E497">
        <v>304252399.5</v>
      </c>
      <c r="F497" t="s">
        <v>17</v>
      </c>
      <c r="G497" t="s">
        <v>41</v>
      </c>
      <c r="H497" t="s">
        <v>16</v>
      </c>
      <c r="I497" t="s">
        <v>16</v>
      </c>
      <c r="J497" t="s">
        <v>16</v>
      </c>
      <c r="K497" t="s">
        <v>16</v>
      </c>
      <c r="L497" t="s">
        <v>228</v>
      </c>
      <c r="M497" t="str">
        <f t="shared" si="21"/>
        <v>challengedwild</v>
      </c>
      <c r="N497" t="s">
        <v>228</v>
      </c>
      <c r="O497" t="s">
        <v>351</v>
      </c>
      <c r="P497" t="s">
        <v>456</v>
      </c>
      <c r="Q497">
        <v>1521261.9979999999</v>
      </c>
    </row>
    <row r="498" spans="1:17" x14ac:dyDescent="0.2">
      <c r="A498" t="s">
        <v>463</v>
      </c>
      <c r="B498">
        <v>0.121587784</v>
      </c>
      <c r="C498">
        <v>22.552477939999999</v>
      </c>
      <c r="D498">
        <v>0</v>
      </c>
      <c r="E498">
        <v>0</v>
      </c>
      <c r="F498" t="s">
        <v>19</v>
      </c>
      <c r="G498" t="s">
        <v>32</v>
      </c>
      <c r="H498" t="s">
        <v>16</v>
      </c>
      <c r="I498" t="s">
        <v>16</v>
      </c>
      <c r="J498" t="s">
        <v>16</v>
      </c>
      <c r="K498" t="s">
        <v>16</v>
      </c>
      <c r="L498" t="s">
        <v>464</v>
      </c>
      <c r="M498" t="str">
        <f t="shared" si="21"/>
        <v>abx_challengedindustrial</v>
      </c>
      <c r="N498" t="s">
        <v>28</v>
      </c>
      <c r="O498" t="s">
        <v>465</v>
      </c>
      <c r="P498" t="s">
        <v>466</v>
      </c>
      <c r="Q498">
        <v>0</v>
      </c>
    </row>
    <row r="499" spans="1:17" x14ac:dyDescent="0.2">
      <c r="A499" t="s">
        <v>1045</v>
      </c>
      <c r="B499">
        <v>0.16750340899999999</v>
      </c>
      <c r="C499">
        <v>210501962.80000001</v>
      </c>
      <c r="D499">
        <v>421003.92560000002</v>
      </c>
      <c r="E499">
        <v>84200785.120000005</v>
      </c>
      <c r="F499" t="s">
        <v>33</v>
      </c>
      <c r="G499" t="s">
        <v>32</v>
      </c>
      <c r="H499" t="s">
        <v>16</v>
      </c>
      <c r="I499" t="s">
        <v>16</v>
      </c>
      <c r="J499" t="s">
        <v>16</v>
      </c>
      <c r="K499" t="s">
        <v>16</v>
      </c>
      <c r="L499" t="s">
        <v>464</v>
      </c>
      <c r="M499" t="str">
        <f t="shared" si="21"/>
        <v>abx_challengedindustrial</v>
      </c>
      <c r="N499" t="s">
        <v>28</v>
      </c>
      <c r="O499" t="s">
        <v>465</v>
      </c>
      <c r="P499" t="s">
        <v>466</v>
      </c>
      <c r="Q499">
        <v>421003.92560000002</v>
      </c>
    </row>
    <row r="500" spans="1:17" x14ac:dyDescent="0.2">
      <c r="A500" t="s">
        <v>467</v>
      </c>
      <c r="B500">
        <v>0.23187655500000001</v>
      </c>
      <c r="C500">
        <v>7906340.9950000001</v>
      </c>
      <c r="D500">
        <v>47438.045969999999</v>
      </c>
      <c r="E500">
        <v>9487609.1940000001</v>
      </c>
      <c r="F500" t="s">
        <v>17</v>
      </c>
      <c r="G500" t="s">
        <v>32</v>
      </c>
      <c r="H500" t="s">
        <v>16</v>
      </c>
      <c r="I500" t="s">
        <v>16</v>
      </c>
      <c r="J500" t="s">
        <v>16</v>
      </c>
      <c r="K500" t="s">
        <v>16</v>
      </c>
      <c r="L500" t="s">
        <v>464</v>
      </c>
      <c r="M500" t="str">
        <f t="shared" si="21"/>
        <v>abx_challengedindustrial</v>
      </c>
      <c r="N500" t="s">
        <v>28</v>
      </c>
      <c r="O500" t="s">
        <v>465</v>
      </c>
      <c r="P500" t="s">
        <v>466</v>
      </c>
      <c r="Q500">
        <v>47438.045969999999</v>
      </c>
    </row>
    <row r="501" spans="1:17" x14ac:dyDescent="0.2">
      <c r="A501" t="s">
        <v>468</v>
      </c>
      <c r="B501" s="1">
        <v>0</v>
      </c>
      <c r="C501" t="s">
        <v>16</v>
      </c>
      <c r="D501">
        <v>0</v>
      </c>
      <c r="E501">
        <v>0</v>
      </c>
      <c r="F501" t="s">
        <v>19</v>
      </c>
      <c r="G501" t="s">
        <v>36</v>
      </c>
      <c r="H501" t="s">
        <v>37</v>
      </c>
      <c r="I501">
        <v>0</v>
      </c>
      <c r="J501" t="s">
        <v>37</v>
      </c>
      <c r="K501">
        <v>0</v>
      </c>
      <c r="L501" t="s">
        <v>464</v>
      </c>
      <c r="M501" t="str">
        <f t="shared" si="21"/>
        <v>controlindustrial</v>
      </c>
      <c r="N501" t="s">
        <v>28</v>
      </c>
      <c r="O501" t="s">
        <v>465</v>
      </c>
      <c r="P501" t="s">
        <v>466</v>
      </c>
      <c r="Q501" t="s">
        <v>16</v>
      </c>
    </row>
    <row r="502" spans="1:17" x14ac:dyDescent="0.2">
      <c r="A502" t="s">
        <v>1046</v>
      </c>
      <c r="B502" s="1">
        <v>0</v>
      </c>
      <c r="C502">
        <v>88881636.930000007</v>
      </c>
      <c r="D502">
        <v>5332898.216</v>
      </c>
      <c r="E502">
        <v>1066579643</v>
      </c>
      <c r="F502" t="s">
        <v>33</v>
      </c>
      <c r="G502" t="s">
        <v>36</v>
      </c>
      <c r="H502" t="s">
        <v>38</v>
      </c>
      <c r="I502">
        <v>134236439.19999999</v>
      </c>
      <c r="J502" t="s">
        <v>38</v>
      </c>
      <c r="K502">
        <v>84200785.120000005</v>
      </c>
      <c r="L502" t="s">
        <v>464</v>
      </c>
      <c r="M502" t="str">
        <f t="shared" si="21"/>
        <v>controlindustrial</v>
      </c>
      <c r="N502" t="s">
        <v>28</v>
      </c>
      <c r="O502" t="s">
        <v>465</v>
      </c>
      <c r="P502" t="s">
        <v>466</v>
      </c>
      <c r="Q502" t="s">
        <v>16</v>
      </c>
    </row>
    <row r="503" spans="1:17" x14ac:dyDescent="0.2">
      <c r="A503" t="s">
        <v>469</v>
      </c>
      <c r="B503" s="1">
        <v>0</v>
      </c>
      <c r="C503" t="s">
        <v>16</v>
      </c>
      <c r="D503">
        <v>0</v>
      </c>
      <c r="E503">
        <v>0</v>
      </c>
      <c r="F503" t="s">
        <v>17</v>
      </c>
      <c r="G503" t="s">
        <v>36</v>
      </c>
      <c r="H503" t="s">
        <v>38</v>
      </c>
      <c r="I503">
        <v>319049795.69999999</v>
      </c>
      <c r="J503" t="s">
        <v>38</v>
      </c>
      <c r="K503">
        <v>9487609.1940000001</v>
      </c>
      <c r="L503" t="s">
        <v>464</v>
      </c>
      <c r="M503" t="str">
        <f t="shared" si="21"/>
        <v>controlindustrial</v>
      </c>
      <c r="N503" t="s">
        <v>28</v>
      </c>
      <c r="O503" t="s">
        <v>465</v>
      </c>
      <c r="P503" t="s">
        <v>466</v>
      </c>
      <c r="Q503" t="s">
        <v>16</v>
      </c>
    </row>
    <row r="504" spans="1:17" x14ac:dyDescent="0.2">
      <c r="A504" t="s">
        <v>470</v>
      </c>
      <c r="B504">
        <v>3.9178169999999998E-2</v>
      </c>
      <c r="C504">
        <v>16.066877349999999</v>
      </c>
      <c r="D504">
        <v>0</v>
      </c>
      <c r="E504">
        <v>0</v>
      </c>
      <c r="F504" t="s">
        <v>19</v>
      </c>
      <c r="G504" t="s">
        <v>41</v>
      </c>
      <c r="H504" t="s">
        <v>16</v>
      </c>
      <c r="I504" t="s">
        <v>16</v>
      </c>
      <c r="J504" t="s">
        <v>16</v>
      </c>
      <c r="K504" t="s">
        <v>16</v>
      </c>
      <c r="L504" t="s">
        <v>464</v>
      </c>
      <c r="M504" t="str">
        <f t="shared" si="21"/>
        <v>challengedindustrial</v>
      </c>
      <c r="N504" t="s">
        <v>28</v>
      </c>
      <c r="O504" t="s">
        <v>465</v>
      </c>
      <c r="P504" t="s">
        <v>466</v>
      </c>
      <c r="Q504">
        <v>0</v>
      </c>
    </row>
    <row r="505" spans="1:17" x14ac:dyDescent="0.2">
      <c r="A505" t="s">
        <v>1047</v>
      </c>
      <c r="B505">
        <v>7.4183271999999995E-2</v>
      </c>
      <c r="C505">
        <v>11186369.939999999</v>
      </c>
      <c r="D505">
        <v>671182.19609999994</v>
      </c>
      <c r="E505">
        <v>134236439.19999999</v>
      </c>
      <c r="F505" t="s">
        <v>33</v>
      </c>
      <c r="G505" t="s">
        <v>41</v>
      </c>
      <c r="H505" t="s">
        <v>16</v>
      </c>
      <c r="I505" t="s">
        <v>16</v>
      </c>
      <c r="J505" t="s">
        <v>16</v>
      </c>
      <c r="K505" t="s">
        <v>16</v>
      </c>
      <c r="L505" t="s">
        <v>464</v>
      </c>
      <c r="M505" t="str">
        <f t="shared" si="21"/>
        <v>challengedindustrial</v>
      </c>
      <c r="N505" t="s">
        <v>28</v>
      </c>
      <c r="O505" t="s">
        <v>465</v>
      </c>
      <c r="P505" t="s">
        <v>466</v>
      </c>
      <c r="Q505">
        <v>-924066.78249999997</v>
      </c>
    </row>
    <row r="506" spans="1:17" x14ac:dyDescent="0.2">
      <c r="A506" t="s">
        <v>471</v>
      </c>
      <c r="B506">
        <v>0.31950289799999998</v>
      </c>
      <c r="C506">
        <v>26587482.98</v>
      </c>
      <c r="D506">
        <v>1595248.9790000001</v>
      </c>
      <c r="E506">
        <v>319049795.69999999</v>
      </c>
      <c r="F506" t="s">
        <v>17</v>
      </c>
      <c r="G506" t="s">
        <v>41</v>
      </c>
      <c r="H506" t="s">
        <v>16</v>
      </c>
      <c r="I506" t="s">
        <v>16</v>
      </c>
      <c r="J506" t="s">
        <v>16</v>
      </c>
      <c r="K506" t="s">
        <v>16</v>
      </c>
      <c r="L506" t="s">
        <v>464</v>
      </c>
      <c r="M506" t="str">
        <f t="shared" si="21"/>
        <v>challengedindustrial</v>
      </c>
      <c r="N506" t="s">
        <v>28</v>
      </c>
      <c r="O506" t="s">
        <v>465</v>
      </c>
      <c r="P506" t="s">
        <v>466</v>
      </c>
      <c r="Q506">
        <v>1595248.9790000001</v>
      </c>
    </row>
    <row r="507" spans="1:17" x14ac:dyDescent="0.2">
      <c r="A507" t="s">
        <v>472</v>
      </c>
      <c r="B507">
        <v>9.0403172000000004E-2</v>
      </c>
      <c r="C507">
        <v>73.919875719999993</v>
      </c>
      <c r="D507">
        <v>0</v>
      </c>
      <c r="E507">
        <v>0</v>
      </c>
      <c r="F507" t="s">
        <v>19</v>
      </c>
      <c r="G507" t="s">
        <v>32</v>
      </c>
      <c r="H507" t="s">
        <v>16</v>
      </c>
      <c r="I507" t="s">
        <v>16</v>
      </c>
      <c r="J507" t="s">
        <v>16</v>
      </c>
      <c r="K507" t="s">
        <v>16</v>
      </c>
      <c r="L507" t="s">
        <v>464</v>
      </c>
      <c r="M507" t="str">
        <f t="shared" si="21"/>
        <v>abx_challengedindustrial</v>
      </c>
      <c r="N507" t="s">
        <v>28</v>
      </c>
      <c r="O507" t="s">
        <v>465</v>
      </c>
      <c r="P507" t="s">
        <v>473</v>
      </c>
      <c r="Q507">
        <v>0</v>
      </c>
    </row>
    <row r="508" spans="1:17" x14ac:dyDescent="0.2">
      <c r="A508" t="s">
        <v>1048</v>
      </c>
      <c r="B508">
        <v>0.14805505899999999</v>
      </c>
      <c r="C508">
        <v>26062039.530000001</v>
      </c>
      <c r="D508">
        <v>52124.079059999996</v>
      </c>
      <c r="E508">
        <v>10424815.810000001</v>
      </c>
      <c r="F508" t="s">
        <v>33</v>
      </c>
      <c r="G508" t="s">
        <v>32</v>
      </c>
      <c r="H508" t="s">
        <v>16</v>
      </c>
      <c r="I508" t="s">
        <v>16</v>
      </c>
      <c r="J508" t="s">
        <v>16</v>
      </c>
      <c r="K508" t="s">
        <v>16</v>
      </c>
      <c r="L508" t="s">
        <v>464</v>
      </c>
      <c r="M508" t="str">
        <f t="shared" si="21"/>
        <v>abx_challengedindustrial</v>
      </c>
      <c r="N508" t="s">
        <v>28</v>
      </c>
      <c r="O508" t="s">
        <v>465</v>
      </c>
      <c r="P508" t="s">
        <v>473</v>
      </c>
      <c r="Q508">
        <v>52124.079059999996</v>
      </c>
    </row>
    <row r="509" spans="1:17" x14ac:dyDescent="0.2">
      <c r="A509" t="s">
        <v>474</v>
      </c>
      <c r="B509">
        <v>0.18124980900000001</v>
      </c>
      <c r="C509">
        <v>5423911.2230000002</v>
      </c>
      <c r="D509">
        <v>32543.467339999999</v>
      </c>
      <c r="E509">
        <v>6508693.4680000003</v>
      </c>
      <c r="F509" t="s">
        <v>17</v>
      </c>
      <c r="G509" t="s">
        <v>32</v>
      </c>
      <c r="H509" t="s">
        <v>16</v>
      </c>
      <c r="I509" t="s">
        <v>16</v>
      </c>
      <c r="J509" t="s">
        <v>16</v>
      </c>
      <c r="K509" t="s">
        <v>16</v>
      </c>
      <c r="L509" t="s">
        <v>464</v>
      </c>
      <c r="M509" t="str">
        <f t="shared" si="21"/>
        <v>abx_challengedindustrial</v>
      </c>
      <c r="N509" t="s">
        <v>28</v>
      </c>
      <c r="O509" t="s">
        <v>465</v>
      </c>
      <c r="P509" t="s">
        <v>473</v>
      </c>
      <c r="Q509">
        <v>32543.467339999999</v>
      </c>
    </row>
    <row r="510" spans="1:17" x14ac:dyDescent="0.2">
      <c r="A510" t="s">
        <v>475</v>
      </c>
      <c r="B510" s="1">
        <v>0</v>
      </c>
      <c r="C510">
        <v>39.068192379999999</v>
      </c>
      <c r="D510">
        <v>0</v>
      </c>
      <c r="E510">
        <v>0</v>
      </c>
      <c r="F510" t="s">
        <v>19</v>
      </c>
      <c r="G510" t="s">
        <v>36</v>
      </c>
      <c r="H510" t="s">
        <v>37</v>
      </c>
      <c r="I510">
        <v>0</v>
      </c>
      <c r="J510" t="s">
        <v>37</v>
      </c>
      <c r="K510">
        <v>0</v>
      </c>
      <c r="L510" t="s">
        <v>464</v>
      </c>
      <c r="M510" t="str">
        <f t="shared" si="21"/>
        <v>controlindustrial</v>
      </c>
      <c r="N510" t="s">
        <v>28</v>
      </c>
      <c r="O510" t="s">
        <v>465</v>
      </c>
      <c r="P510" t="s">
        <v>473</v>
      </c>
      <c r="Q510" t="s">
        <v>16</v>
      </c>
    </row>
    <row r="511" spans="1:17" x14ac:dyDescent="0.2">
      <c r="A511" t="s">
        <v>1049</v>
      </c>
      <c r="B511" s="1">
        <v>0</v>
      </c>
      <c r="C511">
        <v>777166117.39999998</v>
      </c>
      <c r="D511">
        <v>46629967.039999999</v>
      </c>
      <c r="E511">
        <v>9325993409</v>
      </c>
      <c r="F511" t="s">
        <v>33</v>
      </c>
      <c r="G511" t="s">
        <v>36</v>
      </c>
      <c r="H511" t="s">
        <v>37</v>
      </c>
      <c r="I511">
        <v>574224.75450000004</v>
      </c>
      <c r="J511" t="s">
        <v>38</v>
      </c>
      <c r="K511">
        <v>10424815.810000001</v>
      </c>
      <c r="L511" t="s">
        <v>464</v>
      </c>
      <c r="M511" t="str">
        <f t="shared" si="21"/>
        <v>controlindustrial</v>
      </c>
      <c r="N511" t="s">
        <v>28</v>
      </c>
      <c r="O511" t="s">
        <v>465</v>
      </c>
      <c r="P511" t="s">
        <v>473</v>
      </c>
      <c r="Q511" t="s">
        <v>16</v>
      </c>
    </row>
    <row r="512" spans="1:17" x14ac:dyDescent="0.2">
      <c r="A512" t="s">
        <v>476</v>
      </c>
      <c r="B512" s="1">
        <v>0</v>
      </c>
      <c r="C512" t="s">
        <v>16</v>
      </c>
      <c r="D512">
        <v>0</v>
      </c>
      <c r="E512">
        <v>0</v>
      </c>
      <c r="F512" t="s">
        <v>17</v>
      </c>
      <c r="G512" t="s">
        <v>36</v>
      </c>
      <c r="H512" t="s">
        <v>38</v>
      </c>
      <c r="I512">
        <v>109268190.5</v>
      </c>
      <c r="J512" t="s">
        <v>38</v>
      </c>
      <c r="K512">
        <v>6508693.4680000003</v>
      </c>
      <c r="L512" t="s">
        <v>464</v>
      </c>
      <c r="M512" t="str">
        <f t="shared" si="21"/>
        <v>controlindustrial</v>
      </c>
      <c r="N512" t="s">
        <v>28</v>
      </c>
      <c r="O512" t="s">
        <v>465</v>
      </c>
      <c r="P512" t="s">
        <v>473</v>
      </c>
      <c r="Q512" t="s">
        <v>16</v>
      </c>
    </row>
    <row r="513" spans="1:17" x14ac:dyDescent="0.2">
      <c r="A513" t="s">
        <v>477</v>
      </c>
      <c r="B513">
        <v>8.3842215999999997E-2</v>
      </c>
      <c r="C513">
        <v>26.311791450000001</v>
      </c>
      <c r="D513">
        <v>0</v>
      </c>
      <c r="E513">
        <v>0</v>
      </c>
      <c r="F513" t="s">
        <v>19</v>
      </c>
      <c r="G513" t="s">
        <v>41</v>
      </c>
      <c r="H513" t="s">
        <v>16</v>
      </c>
      <c r="I513" t="s">
        <v>16</v>
      </c>
      <c r="J513" t="s">
        <v>16</v>
      </c>
      <c r="K513" t="s">
        <v>16</v>
      </c>
      <c r="L513" t="s">
        <v>464</v>
      </c>
      <c r="M513" t="str">
        <f t="shared" si="21"/>
        <v>challengedindustrial</v>
      </c>
      <c r="N513" t="s">
        <v>28</v>
      </c>
      <c r="O513" t="s">
        <v>465</v>
      </c>
      <c r="P513" t="s">
        <v>473</v>
      </c>
      <c r="Q513">
        <v>0</v>
      </c>
    </row>
    <row r="514" spans="1:17" x14ac:dyDescent="0.2">
      <c r="A514" t="s">
        <v>1050</v>
      </c>
      <c r="B514">
        <v>0.21018076199999999</v>
      </c>
      <c r="C514">
        <v>47852.062870000002</v>
      </c>
      <c r="D514">
        <v>2871.1237719999999</v>
      </c>
      <c r="E514">
        <v>574224.75450000004</v>
      </c>
      <c r="F514" t="s">
        <v>33</v>
      </c>
      <c r="G514" t="s">
        <v>41</v>
      </c>
      <c r="H514" t="s">
        <v>16</v>
      </c>
      <c r="I514" t="s">
        <v>16</v>
      </c>
      <c r="J514" t="s">
        <v>16</v>
      </c>
      <c r="K514" t="s">
        <v>16</v>
      </c>
      <c r="L514" t="s">
        <v>464</v>
      </c>
      <c r="M514" t="str">
        <f t="shared" si="21"/>
        <v>challengedindustrial</v>
      </c>
      <c r="N514" t="s">
        <v>28</v>
      </c>
      <c r="O514" t="s">
        <v>465</v>
      </c>
      <c r="P514" t="s">
        <v>473</v>
      </c>
      <c r="Q514">
        <v>-543469.82889999996</v>
      </c>
    </row>
    <row r="515" spans="1:17" x14ac:dyDescent="0.2">
      <c r="A515" t="s">
        <v>478</v>
      </c>
      <c r="B515">
        <v>0.26206944900000001</v>
      </c>
      <c r="C515">
        <v>9105682.5439999998</v>
      </c>
      <c r="D515">
        <v>546340.95270000002</v>
      </c>
      <c r="E515">
        <v>109268190.5</v>
      </c>
      <c r="F515" t="s">
        <v>17</v>
      </c>
      <c r="G515" t="s">
        <v>41</v>
      </c>
      <c r="H515" t="s">
        <v>16</v>
      </c>
      <c r="I515" t="s">
        <v>16</v>
      </c>
      <c r="J515" t="s">
        <v>16</v>
      </c>
      <c r="K515" t="s">
        <v>16</v>
      </c>
      <c r="L515" t="s">
        <v>464</v>
      </c>
      <c r="M515" t="str">
        <f t="shared" si="21"/>
        <v>challengedindustrial</v>
      </c>
      <c r="N515" t="s">
        <v>28</v>
      </c>
      <c r="O515" t="s">
        <v>465</v>
      </c>
      <c r="P515" t="s">
        <v>473</v>
      </c>
      <c r="Q515">
        <v>546340.95270000002</v>
      </c>
    </row>
    <row r="516" spans="1:17" x14ac:dyDescent="0.2">
      <c r="A516" t="s">
        <v>479</v>
      </c>
      <c r="B516" t="s">
        <v>16</v>
      </c>
      <c r="C516">
        <v>11.19700909</v>
      </c>
      <c r="D516">
        <v>0</v>
      </c>
      <c r="E516">
        <v>0</v>
      </c>
      <c r="F516" t="s">
        <v>19</v>
      </c>
      <c r="G516" t="s">
        <v>91</v>
      </c>
      <c r="H516" t="s">
        <v>16</v>
      </c>
      <c r="I516" t="s">
        <v>16</v>
      </c>
      <c r="J516" t="s">
        <v>16</v>
      </c>
      <c r="K516" t="s">
        <v>16</v>
      </c>
      <c r="L516" t="s">
        <v>464</v>
      </c>
      <c r="M516" t="str">
        <f t="shared" si="21"/>
        <v>ABXindustrial</v>
      </c>
      <c r="N516" t="s">
        <v>28</v>
      </c>
      <c r="O516" t="s">
        <v>465</v>
      </c>
      <c r="P516" t="s">
        <v>480</v>
      </c>
      <c r="Q516">
        <v>0</v>
      </c>
    </row>
    <row r="517" spans="1:17" x14ac:dyDescent="0.2">
      <c r="A517" t="s">
        <v>481</v>
      </c>
      <c r="B517">
        <v>0.182881984</v>
      </c>
      <c r="C517">
        <v>153.7190708</v>
      </c>
      <c r="D517">
        <v>14.23324729</v>
      </c>
      <c r="E517">
        <v>2846.6494590000002</v>
      </c>
      <c r="F517" t="s">
        <v>19</v>
      </c>
      <c r="G517" t="s">
        <v>32</v>
      </c>
      <c r="H517" t="s">
        <v>16</v>
      </c>
      <c r="I517" t="s">
        <v>16</v>
      </c>
      <c r="J517" t="s">
        <v>16</v>
      </c>
      <c r="K517" t="s">
        <v>16</v>
      </c>
      <c r="L517" t="s">
        <v>464</v>
      </c>
      <c r="M517" t="str">
        <f t="shared" si="21"/>
        <v>abx_challengedindustrial</v>
      </c>
      <c r="N517" t="s">
        <v>28</v>
      </c>
      <c r="O517" t="s">
        <v>465</v>
      </c>
      <c r="P517" t="s">
        <v>480</v>
      </c>
      <c r="Q517">
        <v>14.23324729</v>
      </c>
    </row>
    <row r="518" spans="1:17" x14ac:dyDescent="0.2">
      <c r="A518" t="s">
        <v>1051</v>
      </c>
      <c r="B518">
        <v>0.16131770400000001</v>
      </c>
      <c r="C518">
        <v>37762459.240000002</v>
      </c>
      <c r="D518">
        <v>75524.918470000004</v>
      </c>
      <c r="E518">
        <v>15104983.689999999</v>
      </c>
      <c r="F518" t="s">
        <v>33</v>
      </c>
      <c r="G518" t="s">
        <v>32</v>
      </c>
      <c r="H518" t="s">
        <v>16</v>
      </c>
      <c r="I518" t="s">
        <v>16</v>
      </c>
      <c r="J518" t="s">
        <v>16</v>
      </c>
      <c r="K518" t="s">
        <v>16</v>
      </c>
      <c r="L518" t="s">
        <v>464</v>
      </c>
      <c r="M518" t="str">
        <f t="shared" si="21"/>
        <v>abx_challengedindustrial</v>
      </c>
      <c r="N518" t="s">
        <v>28</v>
      </c>
      <c r="O518" t="s">
        <v>465</v>
      </c>
      <c r="P518" t="s">
        <v>480</v>
      </c>
      <c r="Q518">
        <v>75524.918470000004</v>
      </c>
    </row>
    <row r="519" spans="1:17" x14ac:dyDescent="0.2">
      <c r="A519" t="s">
        <v>482</v>
      </c>
      <c r="B519">
        <v>0.216104359</v>
      </c>
      <c r="C519">
        <v>4415124.2690000003</v>
      </c>
      <c r="D519">
        <v>26490.745610000002</v>
      </c>
      <c r="E519">
        <v>5298149.1229999997</v>
      </c>
      <c r="F519" t="s">
        <v>17</v>
      </c>
      <c r="G519" t="s">
        <v>32</v>
      </c>
      <c r="H519" t="s">
        <v>16</v>
      </c>
      <c r="I519" t="s">
        <v>16</v>
      </c>
      <c r="J519" t="s">
        <v>16</v>
      </c>
      <c r="K519" t="s">
        <v>16</v>
      </c>
      <c r="L519" t="s">
        <v>464</v>
      </c>
      <c r="M519" t="str">
        <f t="shared" si="21"/>
        <v>abx_challengedindustrial</v>
      </c>
      <c r="N519" t="s">
        <v>28</v>
      </c>
      <c r="O519" t="s">
        <v>465</v>
      </c>
      <c r="P519" t="s">
        <v>480</v>
      </c>
      <c r="Q519">
        <v>26490.745610000002</v>
      </c>
    </row>
    <row r="520" spans="1:17" x14ac:dyDescent="0.2">
      <c r="A520" t="s">
        <v>483</v>
      </c>
      <c r="B520" s="1">
        <v>0</v>
      </c>
      <c r="C520">
        <v>9.6618261729999997</v>
      </c>
      <c r="D520">
        <v>0</v>
      </c>
      <c r="E520">
        <v>0</v>
      </c>
      <c r="F520" t="s">
        <v>19</v>
      </c>
      <c r="G520" t="s">
        <v>36</v>
      </c>
      <c r="H520" t="s">
        <v>37</v>
      </c>
      <c r="I520">
        <v>0</v>
      </c>
      <c r="J520" t="s">
        <v>37</v>
      </c>
      <c r="K520">
        <v>2846.6494590000002</v>
      </c>
      <c r="L520" t="s">
        <v>464</v>
      </c>
      <c r="M520" t="str">
        <f t="shared" si="21"/>
        <v>controlindustrial</v>
      </c>
      <c r="N520" t="s">
        <v>28</v>
      </c>
      <c r="O520" t="s">
        <v>465</v>
      </c>
      <c r="P520" t="s">
        <v>480</v>
      </c>
      <c r="Q520" t="s">
        <v>16</v>
      </c>
    </row>
    <row r="521" spans="1:17" x14ac:dyDescent="0.2">
      <c r="A521" t="s">
        <v>1052</v>
      </c>
      <c r="B521" s="1">
        <v>0</v>
      </c>
      <c r="C521">
        <v>1826020021</v>
      </c>
      <c r="D521">
        <v>109561201.3</v>
      </c>
      <c r="E521">
        <v>21912240253</v>
      </c>
      <c r="F521" t="s">
        <v>33</v>
      </c>
      <c r="G521" t="s">
        <v>36</v>
      </c>
      <c r="H521" t="s">
        <v>38</v>
      </c>
      <c r="I521">
        <v>236062583.59999999</v>
      </c>
      <c r="J521" t="s">
        <v>38</v>
      </c>
      <c r="K521">
        <v>15104983.689999999</v>
      </c>
      <c r="L521" t="s">
        <v>464</v>
      </c>
      <c r="M521" t="str">
        <f t="shared" si="21"/>
        <v>controlindustrial</v>
      </c>
      <c r="N521" t="s">
        <v>28</v>
      </c>
      <c r="O521" t="s">
        <v>465</v>
      </c>
      <c r="P521" t="s">
        <v>480</v>
      </c>
      <c r="Q521" t="s">
        <v>16</v>
      </c>
    </row>
    <row r="522" spans="1:17" x14ac:dyDescent="0.2">
      <c r="A522" t="s">
        <v>484</v>
      </c>
      <c r="B522" s="1">
        <v>0</v>
      </c>
      <c r="C522" t="s">
        <v>16</v>
      </c>
      <c r="D522">
        <v>0</v>
      </c>
      <c r="E522">
        <v>0</v>
      </c>
      <c r="F522" t="s">
        <v>17</v>
      </c>
      <c r="G522" t="s">
        <v>36</v>
      </c>
      <c r="H522" t="s">
        <v>38</v>
      </c>
      <c r="I522">
        <v>71128763.439999998</v>
      </c>
      <c r="J522" t="s">
        <v>38</v>
      </c>
      <c r="K522">
        <v>5298149.1229999997</v>
      </c>
      <c r="L522" t="s">
        <v>464</v>
      </c>
      <c r="M522" t="str">
        <f t="shared" ref="M522:M585" si="22">CONCATENATE(G522, L522)</f>
        <v>controlindustrial</v>
      </c>
      <c r="N522" t="s">
        <v>28</v>
      </c>
      <c r="O522" t="s">
        <v>465</v>
      </c>
      <c r="P522" t="s">
        <v>480</v>
      </c>
      <c r="Q522" t="s">
        <v>16</v>
      </c>
    </row>
    <row r="523" spans="1:17" x14ac:dyDescent="0.2">
      <c r="A523" t="s">
        <v>1053</v>
      </c>
      <c r="B523">
        <v>9.3710211000000002E-2</v>
      </c>
      <c r="C523">
        <v>19671881.969999999</v>
      </c>
      <c r="D523">
        <v>1180312.9180000001</v>
      </c>
      <c r="E523">
        <v>236062583.59999999</v>
      </c>
      <c r="F523" t="s">
        <v>33</v>
      </c>
      <c r="G523" t="s">
        <v>41</v>
      </c>
      <c r="H523" t="s">
        <v>16</v>
      </c>
      <c r="I523" t="s">
        <v>16</v>
      </c>
      <c r="J523" t="s">
        <v>16</v>
      </c>
      <c r="K523" t="s">
        <v>16</v>
      </c>
      <c r="L523" t="s">
        <v>464</v>
      </c>
      <c r="M523" t="str">
        <f t="shared" si="22"/>
        <v>challengedindustrial</v>
      </c>
      <c r="N523" t="s">
        <v>28</v>
      </c>
      <c r="O523" t="s">
        <v>465</v>
      </c>
      <c r="P523" t="s">
        <v>480</v>
      </c>
      <c r="Q523">
        <v>824669.10100000002</v>
      </c>
    </row>
    <row r="524" spans="1:17" x14ac:dyDescent="0.2">
      <c r="A524" t="s">
        <v>485</v>
      </c>
      <c r="B524">
        <v>0.23475633800000001</v>
      </c>
      <c r="C524">
        <v>5927396.9529999997</v>
      </c>
      <c r="D524">
        <v>355643.81719999999</v>
      </c>
      <c r="E524">
        <v>71128763.439999998</v>
      </c>
      <c r="F524" t="s">
        <v>17</v>
      </c>
      <c r="G524" t="s">
        <v>41</v>
      </c>
      <c r="H524" t="s">
        <v>16</v>
      </c>
      <c r="I524" t="s">
        <v>16</v>
      </c>
      <c r="J524" t="s">
        <v>16</v>
      </c>
      <c r="K524" t="s">
        <v>16</v>
      </c>
      <c r="L524" t="s">
        <v>464</v>
      </c>
      <c r="M524" t="str">
        <f t="shared" si="22"/>
        <v>challengedindustrial</v>
      </c>
      <c r="N524" t="s">
        <v>28</v>
      </c>
      <c r="O524" t="s">
        <v>465</v>
      </c>
      <c r="P524" t="s">
        <v>480</v>
      </c>
      <c r="Q524">
        <v>355643.81719999999</v>
      </c>
    </row>
    <row r="525" spans="1:17" x14ac:dyDescent="0.2">
      <c r="A525" t="s">
        <v>486</v>
      </c>
      <c r="B525">
        <v>0.13044412899999999</v>
      </c>
      <c r="C525">
        <v>28.4248675784666</v>
      </c>
      <c r="D525">
        <v>2.6319321831913518</v>
      </c>
      <c r="E525">
        <f>D525*200</f>
        <v>526.38643663827031</v>
      </c>
      <c r="F525" t="s">
        <v>19</v>
      </c>
      <c r="G525" t="s">
        <v>32</v>
      </c>
      <c r="H525" t="s">
        <v>16</v>
      </c>
      <c r="I525" t="s">
        <v>16</v>
      </c>
      <c r="J525" t="s">
        <v>16</v>
      </c>
      <c r="K525" t="s">
        <v>16</v>
      </c>
      <c r="L525" t="s">
        <v>464</v>
      </c>
      <c r="M525" t="str">
        <f t="shared" si="22"/>
        <v>abx_challengedindustrial</v>
      </c>
      <c r="N525" t="s">
        <v>28</v>
      </c>
      <c r="O525" t="s">
        <v>465</v>
      </c>
      <c r="P525" t="s">
        <v>487</v>
      </c>
      <c r="Q525">
        <v>526.38643660000002</v>
      </c>
    </row>
    <row r="526" spans="1:17" x14ac:dyDescent="0.2">
      <c r="A526" t="s">
        <v>488</v>
      </c>
      <c r="B526">
        <v>0</v>
      </c>
      <c r="C526" t="s">
        <v>16</v>
      </c>
      <c r="D526">
        <v>0</v>
      </c>
      <c r="E526">
        <f t="shared" ref="E526:E530" si="23">D526*200</f>
        <v>0</v>
      </c>
      <c r="F526" t="s">
        <v>19</v>
      </c>
      <c r="G526" t="s">
        <v>36</v>
      </c>
      <c r="H526" t="s">
        <v>37</v>
      </c>
      <c r="I526">
        <v>25999.401829999999</v>
      </c>
      <c r="J526" t="s">
        <v>37</v>
      </c>
      <c r="K526">
        <v>526.38643660000002</v>
      </c>
      <c r="L526" t="s">
        <v>464</v>
      </c>
      <c r="M526" t="str">
        <f t="shared" si="22"/>
        <v>controlindustrial</v>
      </c>
      <c r="N526" t="s">
        <v>28</v>
      </c>
      <c r="O526" t="s">
        <v>465</v>
      </c>
      <c r="P526" t="s">
        <v>487</v>
      </c>
      <c r="Q526" t="s">
        <v>16</v>
      </c>
    </row>
    <row r="527" spans="1:17" x14ac:dyDescent="0.2">
      <c r="A527" t="s">
        <v>489</v>
      </c>
      <c r="B527">
        <v>9.2807399999999998E-2</v>
      </c>
      <c r="C527">
        <v>1403.9676989681932</v>
      </c>
      <c r="D527">
        <v>129.9970091637216</v>
      </c>
      <c r="E527">
        <f t="shared" si="23"/>
        <v>25999.401832744319</v>
      </c>
      <c r="F527" t="s">
        <v>19</v>
      </c>
      <c r="G527" t="s">
        <v>41</v>
      </c>
      <c r="H527" t="s">
        <v>16</v>
      </c>
      <c r="I527" t="s">
        <v>16</v>
      </c>
      <c r="J527" t="s">
        <v>16</v>
      </c>
      <c r="K527" t="s">
        <v>16</v>
      </c>
      <c r="L527" t="s">
        <v>464</v>
      </c>
      <c r="M527" t="str">
        <f t="shared" si="22"/>
        <v>challengedindustrial</v>
      </c>
      <c r="N527" t="s">
        <v>28</v>
      </c>
      <c r="O527" t="s">
        <v>465</v>
      </c>
      <c r="P527" t="s">
        <v>487</v>
      </c>
      <c r="Q527">
        <v>25999.401829999999</v>
      </c>
    </row>
    <row r="528" spans="1:17" x14ac:dyDescent="0.2">
      <c r="A528" t="s">
        <v>490</v>
      </c>
      <c r="B528">
        <v>0.11170656700000001</v>
      </c>
      <c r="C528">
        <v>54.545769462321097</v>
      </c>
      <c r="D528">
        <v>5.0505342094741756</v>
      </c>
      <c r="E528">
        <f t="shared" si="23"/>
        <v>1010.1068418948352</v>
      </c>
      <c r="F528" t="s">
        <v>19</v>
      </c>
      <c r="G528" t="s">
        <v>32</v>
      </c>
      <c r="H528" t="s">
        <v>16</v>
      </c>
      <c r="I528" t="s">
        <v>16</v>
      </c>
      <c r="J528" t="s">
        <v>16</v>
      </c>
      <c r="K528" t="s">
        <v>16</v>
      </c>
      <c r="L528" t="s">
        <v>464</v>
      </c>
      <c r="M528" t="str">
        <f t="shared" si="22"/>
        <v>abx_challengedindustrial</v>
      </c>
      <c r="N528" t="s">
        <v>28</v>
      </c>
      <c r="O528" t="s">
        <v>465</v>
      </c>
      <c r="P528" t="s">
        <v>491</v>
      </c>
      <c r="Q528">
        <v>1010.106842</v>
      </c>
    </row>
    <row r="529" spans="1:17" x14ac:dyDescent="0.2">
      <c r="A529" t="s">
        <v>492</v>
      </c>
      <c r="B529" t="s">
        <v>16</v>
      </c>
      <c r="C529" t="s">
        <v>16</v>
      </c>
      <c r="D529">
        <v>0</v>
      </c>
      <c r="E529">
        <f t="shared" si="23"/>
        <v>0</v>
      </c>
      <c r="F529" t="s">
        <v>19</v>
      </c>
      <c r="G529" t="s">
        <v>91</v>
      </c>
      <c r="H529" t="s">
        <v>16</v>
      </c>
      <c r="I529" t="s">
        <v>16</v>
      </c>
      <c r="J529" t="s">
        <v>16</v>
      </c>
      <c r="K529" t="s">
        <v>16</v>
      </c>
      <c r="L529" t="s">
        <v>464</v>
      </c>
      <c r="M529" t="str">
        <f t="shared" si="22"/>
        <v>ABXindustrial</v>
      </c>
      <c r="N529" t="s">
        <v>28</v>
      </c>
      <c r="O529" t="s">
        <v>465</v>
      </c>
      <c r="P529" t="s">
        <v>491</v>
      </c>
      <c r="Q529">
        <v>0</v>
      </c>
    </row>
    <row r="530" spans="1:17" x14ac:dyDescent="0.2">
      <c r="A530" t="s">
        <v>493</v>
      </c>
      <c r="B530">
        <v>0</v>
      </c>
      <c r="C530" t="s">
        <v>16</v>
      </c>
      <c r="D530">
        <v>0</v>
      </c>
      <c r="E530">
        <f t="shared" si="23"/>
        <v>0</v>
      </c>
      <c r="F530" t="s">
        <v>19</v>
      </c>
      <c r="G530" t="s">
        <v>36</v>
      </c>
      <c r="H530" t="s">
        <v>37</v>
      </c>
      <c r="I530" t="s">
        <v>16</v>
      </c>
      <c r="J530" t="s">
        <v>37</v>
      </c>
      <c r="K530" t="s">
        <v>915</v>
      </c>
      <c r="L530" t="s">
        <v>464</v>
      </c>
      <c r="M530" t="str">
        <f t="shared" si="22"/>
        <v>controlindustrial</v>
      </c>
      <c r="N530" t="s">
        <v>28</v>
      </c>
      <c r="O530" t="s">
        <v>465</v>
      </c>
      <c r="P530" t="s">
        <v>491</v>
      </c>
      <c r="Q530" t="s">
        <v>16</v>
      </c>
    </row>
    <row r="531" spans="1:17" x14ac:dyDescent="0.2">
      <c r="A531" t="s">
        <v>494</v>
      </c>
      <c r="B531">
        <v>0.13661031700000001</v>
      </c>
      <c r="C531">
        <v>233.53101820000001</v>
      </c>
      <c r="D531">
        <v>21.623242430000001</v>
      </c>
      <c r="E531">
        <v>4324.648486</v>
      </c>
      <c r="F531" t="s">
        <v>19</v>
      </c>
      <c r="G531" t="s">
        <v>32</v>
      </c>
      <c r="H531" t="s">
        <v>16</v>
      </c>
      <c r="I531" t="s">
        <v>16</v>
      </c>
      <c r="J531" t="s">
        <v>16</v>
      </c>
      <c r="K531" t="s">
        <v>16</v>
      </c>
      <c r="L531" t="s">
        <v>464</v>
      </c>
      <c r="M531" t="str">
        <f t="shared" si="22"/>
        <v>abx_challengedindustrial</v>
      </c>
      <c r="N531" t="s">
        <v>28</v>
      </c>
      <c r="O531" t="s">
        <v>465</v>
      </c>
      <c r="P531" t="s">
        <v>495</v>
      </c>
      <c r="Q531">
        <v>21.623242430000001</v>
      </c>
    </row>
    <row r="532" spans="1:17" x14ac:dyDescent="0.2">
      <c r="A532" t="s">
        <v>1054</v>
      </c>
      <c r="B532">
        <v>0.19206081699999999</v>
      </c>
      <c r="C532">
        <v>448275544.89999998</v>
      </c>
      <c r="D532">
        <v>896551.08990000002</v>
      </c>
      <c r="E532">
        <v>179310218</v>
      </c>
      <c r="F532" t="s">
        <v>33</v>
      </c>
      <c r="G532" t="s">
        <v>32</v>
      </c>
      <c r="H532" t="s">
        <v>16</v>
      </c>
      <c r="I532" t="s">
        <v>16</v>
      </c>
      <c r="J532" t="s">
        <v>16</v>
      </c>
      <c r="K532" t="s">
        <v>16</v>
      </c>
      <c r="L532" t="s">
        <v>464</v>
      </c>
      <c r="M532" t="str">
        <f t="shared" si="22"/>
        <v>abx_challengedindustrial</v>
      </c>
      <c r="N532" t="s">
        <v>28</v>
      </c>
      <c r="O532" t="s">
        <v>465</v>
      </c>
      <c r="P532" t="s">
        <v>495</v>
      </c>
      <c r="Q532">
        <v>794932.68220000004</v>
      </c>
    </row>
    <row r="533" spans="1:17" x14ac:dyDescent="0.2">
      <c r="A533" t="s">
        <v>496</v>
      </c>
      <c r="B533">
        <v>0.22905557700000001</v>
      </c>
      <c r="C533">
        <v>16936401.280000001</v>
      </c>
      <c r="D533">
        <v>101618.4077</v>
      </c>
      <c r="E533">
        <v>20323681.530000001</v>
      </c>
      <c r="F533" t="s">
        <v>17</v>
      </c>
      <c r="G533" t="s">
        <v>32</v>
      </c>
      <c r="H533" t="s">
        <v>16</v>
      </c>
      <c r="I533" t="s">
        <v>16</v>
      </c>
      <c r="J533" t="s">
        <v>16</v>
      </c>
      <c r="K533" t="s">
        <v>16</v>
      </c>
      <c r="L533" t="s">
        <v>464</v>
      </c>
      <c r="M533" t="str">
        <f t="shared" si="22"/>
        <v>abx_challengedindustrial</v>
      </c>
      <c r="N533" t="s">
        <v>28</v>
      </c>
      <c r="O533" t="s">
        <v>465</v>
      </c>
      <c r="P533" t="s">
        <v>495</v>
      </c>
      <c r="Q533">
        <v>101618.4077</v>
      </c>
    </row>
    <row r="534" spans="1:17" x14ac:dyDescent="0.2">
      <c r="A534" t="s">
        <v>497</v>
      </c>
      <c r="B534" s="1">
        <v>0</v>
      </c>
      <c r="C534" t="s">
        <v>16</v>
      </c>
      <c r="D534">
        <v>0</v>
      </c>
      <c r="E534">
        <v>0</v>
      </c>
      <c r="F534" t="s">
        <v>19</v>
      </c>
      <c r="G534" t="s">
        <v>36</v>
      </c>
      <c r="H534" t="s">
        <v>37</v>
      </c>
      <c r="I534">
        <v>0</v>
      </c>
      <c r="J534" t="s">
        <v>37</v>
      </c>
      <c r="K534">
        <v>4324.648486</v>
      </c>
      <c r="L534" t="s">
        <v>464</v>
      </c>
      <c r="M534" t="str">
        <f t="shared" si="22"/>
        <v>controlindustrial</v>
      </c>
      <c r="N534" t="s">
        <v>28</v>
      </c>
      <c r="O534" t="s">
        <v>465</v>
      </c>
      <c r="P534" t="s">
        <v>495</v>
      </c>
      <c r="Q534" t="s">
        <v>16</v>
      </c>
    </row>
    <row r="535" spans="1:17" x14ac:dyDescent="0.2">
      <c r="A535" t="s">
        <v>1055</v>
      </c>
      <c r="B535" s="1">
        <v>0</v>
      </c>
      <c r="C535">
        <v>57094010.950000003</v>
      </c>
      <c r="D535">
        <v>3425640.6570000001</v>
      </c>
      <c r="E535">
        <v>685128131.39999998</v>
      </c>
      <c r="F535" t="s">
        <v>33</v>
      </c>
      <c r="G535" t="s">
        <v>36</v>
      </c>
      <c r="H535" t="s">
        <v>38</v>
      </c>
      <c r="I535">
        <v>116417943.5</v>
      </c>
      <c r="J535" t="s">
        <v>38</v>
      </c>
      <c r="K535">
        <v>179310218</v>
      </c>
      <c r="L535" t="s">
        <v>464</v>
      </c>
      <c r="M535" t="str">
        <f t="shared" si="22"/>
        <v>controlindustrial</v>
      </c>
      <c r="N535" t="s">
        <v>28</v>
      </c>
      <c r="O535" t="s">
        <v>465</v>
      </c>
      <c r="P535" t="s">
        <v>495</v>
      </c>
      <c r="Q535" t="s">
        <v>16</v>
      </c>
    </row>
    <row r="536" spans="1:17" x14ac:dyDescent="0.2">
      <c r="A536" t="s">
        <v>498</v>
      </c>
      <c r="B536" s="1">
        <v>0</v>
      </c>
      <c r="C536" t="s">
        <v>16</v>
      </c>
      <c r="D536">
        <v>0</v>
      </c>
      <c r="E536">
        <v>0</v>
      </c>
      <c r="F536" t="s">
        <v>17</v>
      </c>
      <c r="G536" t="s">
        <v>36</v>
      </c>
      <c r="H536" t="s">
        <v>38</v>
      </c>
      <c r="I536">
        <v>354844148.60000002</v>
      </c>
      <c r="J536" t="s">
        <v>38</v>
      </c>
      <c r="K536">
        <v>20323681.530000001</v>
      </c>
      <c r="L536" t="s">
        <v>464</v>
      </c>
      <c r="M536" t="str">
        <f t="shared" si="22"/>
        <v>controlindustrial</v>
      </c>
      <c r="N536" t="s">
        <v>28</v>
      </c>
      <c r="O536" t="s">
        <v>465</v>
      </c>
      <c r="P536" t="s">
        <v>495</v>
      </c>
      <c r="Q536" t="s">
        <v>16</v>
      </c>
    </row>
    <row r="537" spans="1:17" x14ac:dyDescent="0.2">
      <c r="A537" t="s">
        <v>499</v>
      </c>
      <c r="B537">
        <v>3.6051693000000003E-2</v>
      </c>
      <c r="C537">
        <v>40.862265890000003</v>
      </c>
      <c r="D537">
        <v>0</v>
      </c>
      <c r="E537">
        <v>0</v>
      </c>
      <c r="F537" t="s">
        <v>19</v>
      </c>
      <c r="G537" t="s">
        <v>41</v>
      </c>
      <c r="H537" t="s">
        <v>16</v>
      </c>
      <c r="I537" t="s">
        <v>16</v>
      </c>
      <c r="J537" t="s">
        <v>16</v>
      </c>
      <c r="K537" t="s">
        <v>16</v>
      </c>
      <c r="L537" t="s">
        <v>464</v>
      </c>
      <c r="M537" t="str">
        <f t="shared" si="22"/>
        <v>challengedindustrial</v>
      </c>
      <c r="N537" t="s">
        <v>28</v>
      </c>
      <c r="O537" t="s">
        <v>465</v>
      </c>
      <c r="P537" t="s">
        <v>495</v>
      </c>
      <c r="Q537">
        <v>0</v>
      </c>
    </row>
    <row r="538" spans="1:17" x14ac:dyDescent="0.2">
      <c r="A538" t="s">
        <v>1056</v>
      </c>
      <c r="B538">
        <v>6.3516066999999996E-2</v>
      </c>
      <c r="C538">
        <v>9701495.2939999998</v>
      </c>
      <c r="D538">
        <v>582089.71770000004</v>
      </c>
      <c r="E538">
        <v>116417943.5</v>
      </c>
      <c r="F538" t="s">
        <v>33</v>
      </c>
      <c r="G538" t="s">
        <v>41</v>
      </c>
      <c r="H538" t="s">
        <v>16</v>
      </c>
      <c r="I538" t="s">
        <v>16</v>
      </c>
      <c r="J538" t="s">
        <v>16</v>
      </c>
      <c r="K538" t="s">
        <v>16</v>
      </c>
      <c r="L538" t="s">
        <v>464</v>
      </c>
      <c r="M538" t="str">
        <f t="shared" si="22"/>
        <v>challengedindustrial</v>
      </c>
      <c r="N538" t="s">
        <v>28</v>
      </c>
      <c r="O538" t="s">
        <v>465</v>
      </c>
      <c r="P538" t="s">
        <v>495</v>
      </c>
      <c r="Q538">
        <v>582068.41220000002</v>
      </c>
    </row>
    <row r="539" spans="1:17" x14ac:dyDescent="0.2">
      <c r="A539" t="s">
        <v>500</v>
      </c>
      <c r="B539">
        <v>0.20657265599999999</v>
      </c>
      <c r="C539">
        <v>29570345.710000001</v>
      </c>
      <c r="D539">
        <v>1774220.743</v>
      </c>
      <c r="E539">
        <v>354844148.60000002</v>
      </c>
      <c r="F539" t="s">
        <v>17</v>
      </c>
      <c r="G539" t="s">
        <v>41</v>
      </c>
      <c r="H539" t="s">
        <v>16</v>
      </c>
      <c r="I539" t="s">
        <v>16</v>
      </c>
      <c r="J539" t="s">
        <v>16</v>
      </c>
      <c r="K539" t="s">
        <v>16</v>
      </c>
      <c r="L539" t="s">
        <v>464</v>
      </c>
      <c r="M539" t="str">
        <f t="shared" si="22"/>
        <v>challengedindustrial</v>
      </c>
      <c r="N539" t="s">
        <v>28</v>
      </c>
      <c r="O539" t="s">
        <v>465</v>
      </c>
      <c r="P539" t="s">
        <v>495</v>
      </c>
      <c r="Q539">
        <v>1774220.743</v>
      </c>
    </row>
    <row r="540" spans="1:17" x14ac:dyDescent="0.2">
      <c r="A540" t="s">
        <v>501</v>
      </c>
      <c r="B540">
        <v>0.11516357000000001</v>
      </c>
      <c r="C540">
        <v>230.0986403</v>
      </c>
      <c r="D540">
        <v>21.305429660000001</v>
      </c>
      <c r="E540">
        <v>4261.085932</v>
      </c>
      <c r="F540" t="s">
        <v>19</v>
      </c>
      <c r="G540" t="s">
        <v>32</v>
      </c>
      <c r="H540" t="s">
        <v>16</v>
      </c>
      <c r="I540" t="s">
        <v>16</v>
      </c>
      <c r="J540" t="s">
        <v>16</v>
      </c>
      <c r="K540" t="s">
        <v>16</v>
      </c>
      <c r="L540" t="s">
        <v>464</v>
      </c>
      <c r="M540" t="str">
        <f t="shared" si="22"/>
        <v>abx_challengedindustrial</v>
      </c>
      <c r="N540" t="s">
        <v>28</v>
      </c>
      <c r="O540" t="s">
        <v>465</v>
      </c>
      <c r="P540" t="s">
        <v>502</v>
      </c>
      <c r="Q540">
        <v>21.305429660000001</v>
      </c>
    </row>
    <row r="541" spans="1:17" x14ac:dyDescent="0.2">
      <c r="A541" t="s">
        <v>1057</v>
      </c>
      <c r="B541">
        <v>0.14702374800000001</v>
      </c>
      <c r="C541">
        <v>198864925.19999999</v>
      </c>
      <c r="D541">
        <v>397729.8504</v>
      </c>
      <c r="E541">
        <v>79545970.079999998</v>
      </c>
      <c r="F541" t="s">
        <v>33</v>
      </c>
      <c r="G541" t="s">
        <v>32</v>
      </c>
      <c r="H541" t="s">
        <v>16</v>
      </c>
      <c r="I541" t="s">
        <v>16</v>
      </c>
      <c r="J541" t="s">
        <v>16</v>
      </c>
      <c r="K541" t="s">
        <v>16</v>
      </c>
      <c r="L541" t="s">
        <v>464</v>
      </c>
      <c r="M541" t="str">
        <f t="shared" si="22"/>
        <v>abx_challengedindustrial</v>
      </c>
      <c r="N541" t="s">
        <v>28</v>
      </c>
      <c r="O541" t="s">
        <v>465</v>
      </c>
      <c r="P541" t="s">
        <v>502</v>
      </c>
      <c r="Q541">
        <v>318850.04369999998</v>
      </c>
    </row>
    <row r="542" spans="1:17" x14ac:dyDescent="0.2">
      <c r="A542" t="s">
        <v>503</v>
      </c>
      <c r="B542">
        <v>0.204891713</v>
      </c>
      <c r="C542">
        <v>13146634.449999999</v>
      </c>
      <c r="D542">
        <v>78879.806700000001</v>
      </c>
      <c r="E542">
        <v>15775961.34</v>
      </c>
      <c r="F542" t="s">
        <v>17</v>
      </c>
      <c r="G542" t="s">
        <v>32</v>
      </c>
      <c r="H542" t="s">
        <v>16</v>
      </c>
      <c r="I542" t="s">
        <v>16</v>
      </c>
      <c r="J542" t="s">
        <v>16</v>
      </c>
      <c r="K542" t="s">
        <v>16</v>
      </c>
      <c r="L542" t="s">
        <v>464</v>
      </c>
      <c r="M542" t="str">
        <f t="shared" si="22"/>
        <v>abx_challengedindustrial</v>
      </c>
      <c r="N542" t="s">
        <v>28</v>
      </c>
      <c r="O542" t="s">
        <v>465</v>
      </c>
      <c r="P542" t="s">
        <v>502</v>
      </c>
      <c r="Q542">
        <v>78879.806700000001</v>
      </c>
    </row>
    <row r="543" spans="1:17" x14ac:dyDescent="0.2">
      <c r="A543" t="s">
        <v>504</v>
      </c>
      <c r="B543" s="1">
        <v>0</v>
      </c>
      <c r="C543" t="s">
        <v>16</v>
      </c>
      <c r="D543">
        <v>0</v>
      </c>
      <c r="E543">
        <v>0</v>
      </c>
      <c r="F543" t="s">
        <v>19</v>
      </c>
      <c r="G543" t="s">
        <v>36</v>
      </c>
      <c r="H543" t="s">
        <v>37</v>
      </c>
      <c r="I543">
        <v>0</v>
      </c>
      <c r="J543" t="s">
        <v>37</v>
      </c>
      <c r="K543">
        <v>4261.085932</v>
      </c>
      <c r="L543" t="s">
        <v>464</v>
      </c>
      <c r="M543" t="str">
        <f t="shared" si="22"/>
        <v>controlindustrial</v>
      </c>
      <c r="N543" t="s">
        <v>28</v>
      </c>
      <c r="O543" t="s">
        <v>465</v>
      </c>
      <c r="P543" t="s">
        <v>502</v>
      </c>
      <c r="Q543" t="s">
        <v>16</v>
      </c>
    </row>
    <row r="544" spans="1:17" x14ac:dyDescent="0.2">
      <c r="A544" t="s">
        <v>1058</v>
      </c>
      <c r="B544" s="1">
        <v>0</v>
      </c>
      <c r="C544">
        <v>165879100.19999999</v>
      </c>
      <c r="D544">
        <v>9952746.0150000006</v>
      </c>
      <c r="E544">
        <v>1990549203</v>
      </c>
      <c r="F544" t="s">
        <v>33</v>
      </c>
      <c r="G544" t="s">
        <v>36</v>
      </c>
      <c r="H544" t="s">
        <v>38</v>
      </c>
      <c r="I544">
        <v>70906905.719999999</v>
      </c>
      <c r="J544" t="s">
        <v>38</v>
      </c>
      <c r="K544">
        <v>79545970.079999998</v>
      </c>
      <c r="L544" t="s">
        <v>464</v>
      </c>
      <c r="M544" t="str">
        <f t="shared" si="22"/>
        <v>controlindustrial</v>
      </c>
      <c r="N544" t="s">
        <v>28</v>
      </c>
      <c r="O544" t="s">
        <v>465</v>
      </c>
      <c r="P544" t="s">
        <v>502</v>
      </c>
      <c r="Q544" t="s">
        <v>16</v>
      </c>
    </row>
    <row r="545" spans="1:17" x14ac:dyDescent="0.2">
      <c r="A545" t="s">
        <v>505</v>
      </c>
      <c r="B545" s="1">
        <v>0</v>
      </c>
      <c r="C545" t="s">
        <v>16</v>
      </c>
      <c r="D545">
        <v>0</v>
      </c>
      <c r="E545">
        <v>0</v>
      </c>
      <c r="F545" t="s">
        <v>17</v>
      </c>
      <c r="G545" t="s">
        <v>36</v>
      </c>
      <c r="H545" t="s">
        <v>38</v>
      </c>
      <c r="I545">
        <v>110327696</v>
      </c>
      <c r="J545" t="s">
        <v>38</v>
      </c>
      <c r="K545">
        <v>15775961.34</v>
      </c>
      <c r="L545" t="s">
        <v>464</v>
      </c>
      <c r="M545" t="str">
        <f t="shared" si="22"/>
        <v>controlindustrial</v>
      </c>
      <c r="N545" t="s">
        <v>28</v>
      </c>
      <c r="O545" t="s">
        <v>465</v>
      </c>
      <c r="P545" t="s">
        <v>502</v>
      </c>
      <c r="Q545" t="s">
        <v>16</v>
      </c>
    </row>
    <row r="546" spans="1:17" x14ac:dyDescent="0.2">
      <c r="A546" t="s">
        <v>506</v>
      </c>
      <c r="B546">
        <v>0.158028853</v>
      </c>
      <c r="C546">
        <v>60.93282292</v>
      </c>
      <c r="D546">
        <v>0</v>
      </c>
      <c r="E546">
        <v>0</v>
      </c>
      <c r="F546" t="s">
        <v>19</v>
      </c>
      <c r="G546" t="s">
        <v>41</v>
      </c>
      <c r="H546" t="s">
        <v>16</v>
      </c>
      <c r="I546" t="s">
        <v>16</v>
      </c>
      <c r="J546" t="s">
        <v>16</v>
      </c>
      <c r="K546" t="s">
        <v>16</v>
      </c>
      <c r="L546" t="s">
        <v>464</v>
      </c>
      <c r="M546" t="str">
        <f t="shared" si="22"/>
        <v>challengedindustrial</v>
      </c>
      <c r="N546" t="s">
        <v>28</v>
      </c>
      <c r="O546" t="s">
        <v>465</v>
      </c>
      <c r="P546" t="s">
        <v>502</v>
      </c>
      <c r="Q546">
        <v>0</v>
      </c>
    </row>
    <row r="547" spans="1:17" x14ac:dyDescent="0.2">
      <c r="A547" t="s">
        <v>1059</v>
      </c>
      <c r="B547" t="s">
        <v>16</v>
      </c>
      <c r="C547">
        <v>5908908.8099999996</v>
      </c>
      <c r="D547">
        <v>354534.52860000002</v>
      </c>
      <c r="E547">
        <v>70906905.719999999</v>
      </c>
      <c r="F547" t="s">
        <v>33</v>
      </c>
      <c r="G547" t="s">
        <v>41</v>
      </c>
      <c r="H547" t="s">
        <v>16</v>
      </c>
      <c r="I547" t="s">
        <v>16</v>
      </c>
      <c r="J547" t="s">
        <v>16</v>
      </c>
      <c r="K547" t="s">
        <v>16</v>
      </c>
      <c r="L547" t="s">
        <v>464</v>
      </c>
      <c r="M547" t="str">
        <f t="shared" si="22"/>
        <v>challengedindustrial</v>
      </c>
      <c r="N547" t="s">
        <v>28</v>
      </c>
      <c r="O547" t="s">
        <v>465</v>
      </c>
      <c r="P547" t="s">
        <v>502</v>
      </c>
      <c r="Q547">
        <v>354534.52860000002</v>
      </c>
    </row>
    <row r="548" spans="1:17" x14ac:dyDescent="0.2">
      <c r="A548" t="s">
        <v>507</v>
      </c>
      <c r="B548">
        <v>0.175592941</v>
      </c>
      <c r="C548">
        <v>9193974.6679999996</v>
      </c>
      <c r="D548">
        <v>551638.48010000004</v>
      </c>
      <c r="E548">
        <v>110327696</v>
      </c>
      <c r="F548" t="s">
        <v>17</v>
      </c>
      <c r="G548" t="s">
        <v>41</v>
      </c>
      <c r="H548" t="s">
        <v>16</v>
      </c>
      <c r="I548" t="s">
        <v>16</v>
      </c>
      <c r="J548" t="s">
        <v>16</v>
      </c>
      <c r="K548" t="s">
        <v>16</v>
      </c>
      <c r="L548" t="s">
        <v>464</v>
      </c>
      <c r="M548" t="str">
        <f t="shared" si="22"/>
        <v>challengedindustrial</v>
      </c>
      <c r="N548" t="s">
        <v>28</v>
      </c>
      <c r="O548" t="s">
        <v>465</v>
      </c>
      <c r="P548" t="s">
        <v>502</v>
      </c>
      <c r="Q548">
        <v>551638.48010000004</v>
      </c>
    </row>
    <row r="549" spans="1:17" x14ac:dyDescent="0.2">
      <c r="A549" t="s">
        <v>508</v>
      </c>
      <c r="B549">
        <v>0.119077247</v>
      </c>
      <c r="C549">
        <v>51.750493290000001</v>
      </c>
      <c r="D549">
        <v>0</v>
      </c>
      <c r="E549">
        <v>0</v>
      </c>
      <c r="F549" t="s">
        <v>19</v>
      </c>
      <c r="G549" t="s">
        <v>32</v>
      </c>
      <c r="H549" t="s">
        <v>16</v>
      </c>
      <c r="I549" t="s">
        <v>16</v>
      </c>
      <c r="J549" t="s">
        <v>16</v>
      </c>
      <c r="K549" t="s">
        <v>16</v>
      </c>
      <c r="L549" t="s">
        <v>464</v>
      </c>
      <c r="M549" t="str">
        <f t="shared" si="22"/>
        <v>abx_challengedindustrial</v>
      </c>
      <c r="N549" t="s">
        <v>28</v>
      </c>
      <c r="O549" t="s">
        <v>465</v>
      </c>
      <c r="P549" t="s">
        <v>509</v>
      </c>
      <c r="Q549">
        <v>0</v>
      </c>
    </row>
    <row r="550" spans="1:17" x14ac:dyDescent="0.2">
      <c r="A550" t="s">
        <v>1060</v>
      </c>
      <c r="B550">
        <v>0.163462948</v>
      </c>
      <c r="C550">
        <v>29974540.649999999</v>
      </c>
      <c r="D550">
        <v>59949.081310000001</v>
      </c>
      <c r="E550">
        <v>11989816.26</v>
      </c>
      <c r="F550" t="s">
        <v>33</v>
      </c>
      <c r="G550" t="s">
        <v>32</v>
      </c>
      <c r="H550" t="s">
        <v>16</v>
      </c>
      <c r="I550" t="s">
        <v>16</v>
      </c>
      <c r="J550" t="s">
        <v>16</v>
      </c>
      <c r="K550" t="s">
        <v>16</v>
      </c>
      <c r="L550" t="s">
        <v>464</v>
      </c>
      <c r="M550" t="str">
        <f t="shared" si="22"/>
        <v>abx_challengedindustrial</v>
      </c>
      <c r="N550" t="s">
        <v>28</v>
      </c>
      <c r="O550" t="s">
        <v>465</v>
      </c>
      <c r="P550" t="s">
        <v>509</v>
      </c>
      <c r="Q550">
        <v>59949.081310000001</v>
      </c>
    </row>
    <row r="551" spans="1:17" x14ac:dyDescent="0.2">
      <c r="A551" t="s">
        <v>510</v>
      </c>
      <c r="B551" t="s">
        <v>16</v>
      </c>
      <c r="C551">
        <v>13880091.619999999</v>
      </c>
      <c r="D551">
        <v>83280.549700000003</v>
      </c>
      <c r="E551">
        <v>16656109.939999999</v>
      </c>
      <c r="F551" t="s">
        <v>17</v>
      </c>
      <c r="G551" t="s">
        <v>32</v>
      </c>
      <c r="H551" t="s">
        <v>16</v>
      </c>
      <c r="I551" t="s">
        <v>16</v>
      </c>
      <c r="J551" t="s">
        <v>16</v>
      </c>
      <c r="K551" t="s">
        <v>16</v>
      </c>
      <c r="L551" t="s">
        <v>464</v>
      </c>
      <c r="M551" t="str">
        <f t="shared" si="22"/>
        <v>abx_challengedindustrial</v>
      </c>
      <c r="N551" t="s">
        <v>28</v>
      </c>
      <c r="O551" t="s">
        <v>465</v>
      </c>
      <c r="P551" t="s">
        <v>509</v>
      </c>
      <c r="Q551">
        <v>83280.549700000003</v>
      </c>
    </row>
    <row r="552" spans="1:17" x14ac:dyDescent="0.2">
      <c r="A552" t="s">
        <v>511</v>
      </c>
      <c r="B552" s="1">
        <v>0</v>
      </c>
      <c r="C552" t="s">
        <v>16</v>
      </c>
      <c r="D552">
        <v>0</v>
      </c>
      <c r="E552">
        <v>0</v>
      </c>
      <c r="F552" t="s">
        <v>19</v>
      </c>
      <c r="G552" t="s">
        <v>36</v>
      </c>
      <c r="H552" t="s">
        <v>37</v>
      </c>
      <c r="I552">
        <v>3914.8363650000001</v>
      </c>
      <c r="J552" t="s">
        <v>37</v>
      </c>
      <c r="K552">
        <v>0</v>
      </c>
      <c r="L552" t="s">
        <v>464</v>
      </c>
      <c r="M552" t="str">
        <f t="shared" si="22"/>
        <v>controlindustrial</v>
      </c>
      <c r="N552" t="s">
        <v>28</v>
      </c>
      <c r="O552" t="s">
        <v>465</v>
      </c>
      <c r="P552" t="s">
        <v>509</v>
      </c>
      <c r="Q552" t="s">
        <v>16</v>
      </c>
    </row>
    <row r="553" spans="1:17" x14ac:dyDescent="0.2">
      <c r="A553" t="s">
        <v>1061</v>
      </c>
      <c r="B553" s="1">
        <v>0</v>
      </c>
      <c r="C553">
        <v>143234737</v>
      </c>
      <c r="D553">
        <v>8594084.2200000007</v>
      </c>
      <c r="E553">
        <v>1718816844</v>
      </c>
      <c r="F553" t="s">
        <v>33</v>
      </c>
      <c r="G553" t="s">
        <v>36</v>
      </c>
      <c r="H553" t="s">
        <v>38</v>
      </c>
      <c r="I553">
        <v>106231316.59999999</v>
      </c>
      <c r="J553" t="s">
        <v>38</v>
      </c>
      <c r="K553">
        <v>11989816.26</v>
      </c>
      <c r="L553" t="s">
        <v>464</v>
      </c>
      <c r="M553" t="str">
        <f t="shared" si="22"/>
        <v>controlindustrial</v>
      </c>
      <c r="N553" t="s">
        <v>28</v>
      </c>
      <c r="O553" t="s">
        <v>465</v>
      </c>
      <c r="P553" t="s">
        <v>509</v>
      </c>
      <c r="Q553" t="s">
        <v>16</v>
      </c>
    </row>
    <row r="554" spans="1:17" x14ac:dyDescent="0.2">
      <c r="A554" t="s">
        <v>512</v>
      </c>
      <c r="B554" s="1">
        <v>0</v>
      </c>
      <c r="C554" t="s">
        <v>16</v>
      </c>
      <c r="D554">
        <v>0</v>
      </c>
      <c r="E554">
        <v>0</v>
      </c>
      <c r="F554" t="s">
        <v>17</v>
      </c>
      <c r="G554" t="s">
        <v>36</v>
      </c>
      <c r="H554" t="s">
        <v>38</v>
      </c>
      <c r="I554">
        <v>117302678.90000001</v>
      </c>
      <c r="J554" t="s">
        <v>38</v>
      </c>
      <c r="K554">
        <v>16656109.939999999</v>
      </c>
      <c r="L554" t="s">
        <v>464</v>
      </c>
      <c r="M554" t="str">
        <f t="shared" si="22"/>
        <v>controlindustrial</v>
      </c>
      <c r="N554" t="s">
        <v>28</v>
      </c>
      <c r="O554" t="s">
        <v>465</v>
      </c>
      <c r="P554" t="s">
        <v>509</v>
      </c>
      <c r="Q554" t="s">
        <v>16</v>
      </c>
    </row>
    <row r="555" spans="1:17" x14ac:dyDescent="0.2">
      <c r="A555" t="s">
        <v>513</v>
      </c>
      <c r="B555">
        <v>0.11487560400000001</v>
      </c>
      <c r="C555">
        <v>211.40116370000001</v>
      </c>
      <c r="D555">
        <v>19.574181830000001</v>
      </c>
      <c r="E555">
        <v>3914.8363650000001</v>
      </c>
      <c r="F555" t="s">
        <v>19</v>
      </c>
      <c r="G555" t="s">
        <v>41</v>
      </c>
      <c r="H555" t="s">
        <v>16</v>
      </c>
      <c r="I555" t="s">
        <v>16</v>
      </c>
      <c r="J555" t="s">
        <v>16</v>
      </c>
      <c r="K555" t="s">
        <v>16</v>
      </c>
      <c r="L555" t="s">
        <v>464</v>
      </c>
      <c r="M555" t="str">
        <f t="shared" si="22"/>
        <v>challengedindustrial</v>
      </c>
      <c r="N555" t="s">
        <v>28</v>
      </c>
      <c r="O555" t="s">
        <v>465</v>
      </c>
      <c r="P555" t="s">
        <v>509</v>
      </c>
      <c r="Q555">
        <v>19.574181830000001</v>
      </c>
    </row>
    <row r="556" spans="1:17" x14ac:dyDescent="0.2">
      <c r="A556" t="s">
        <v>1062</v>
      </c>
      <c r="B556">
        <v>5.7106997E-2</v>
      </c>
      <c r="C556">
        <v>8852609.7180000003</v>
      </c>
      <c r="D556">
        <v>531156.58310000005</v>
      </c>
      <c r="E556">
        <v>106231316.59999999</v>
      </c>
      <c r="F556" t="s">
        <v>33</v>
      </c>
      <c r="G556" t="s">
        <v>41</v>
      </c>
      <c r="H556" t="s">
        <v>16</v>
      </c>
      <c r="I556" t="s">
        <v>16</v>
      </c>
      <c r="J556" t="s">
        <v>16</v>
      </c>
      <c r="K556" t="s">
        <v>16</v>
      </c>
      <c r="L556" t="s">
        <v>464</v>
      </c>
      <c r="M556" t="str">
        <f t="shared" si="22"/>
        <v>challengedindustrial</v>
      </c>
      <c r="N556" t="s">
        <v>28</v>
      </c>
      <c r="O556" t="s">
        <v>465</v>
      </c>
      <c r="P556" t="s">
        <v>509</v>
      </c>
      <c r="Q556">
        <v>-55356.81119</v>
      </c>
    </row>
    <row r="557" spans="1:17" x14ac:dyDescent="0.2">
      <c r="A557" t="s">
        <v>514</v>
      </c>
      <c r="B557" t="s">
        <v>16</v>
      </c>
      <c r="C557">
        <v>9775223.2379999999</v>
      </c>
      <c r="D557">
        <v>586513.39430000004</v>
      </c>
      <c r="E557">
        <v>117302678.90000001</v>
      </c>
      <c r="F557" t="s">
        <v>17</v>
      </c>
      <c r="G557" t="s">
        <v>41</v>
      </c>
      <c r="H557" t="s">
        <v>16</v>
      </c>
      <c r="I557" t="s">
        <v>16</v>
      </c>
      <c r="J557" t="s">
        <v>16</v>
      </c>
      <c r="K557" t="s">
        <v>16</v>
      </c>
      <c r="L557" t="s">
        <v>464</v>
      </c>
      <c r="M557" t="str">
        <f t="shared" si="22"/>
        <v>challengedindustrial</v>
      </c>
      <c r="N557" t="s">
        <v>28</v>
      </c>
      <c r="O557" t="s">
        <v>465</v>
      </c>
      <c r="P557" t="s">
        <v>509</v>
      </c>
      <c r="Q557">
        <v>586513.39430000004</v>
      </c>
    </row>
    <row r="558" spans="1:17" x14ac:dyDescent="0.2">
      <c r="A558" t="s">
        <v>515</v>
      </c>
      <c r="B558" t="s">
        <v>16</v>
      </c>
      <c r="C558">
        <v>2.42232410899594</v>
      </c>
      <c r="D558">
        <v>0.22428926935147592</v>
      </c>
      <c r="E558">
        <f>D558*200</f>
        <v>44.85785387029518</v>
      </c>
      <c r="F558" t="s">
        <v>19</v>
      </c>
      <c r="G558" t="s">
        <v>32</v>
      </c>
      <c r="H558" t="s">
        <v>16</v>
      </c>
      <c r="I558" t="s">
        <v>16</v>
      </c>
      <c r="J558" t="s">
        <v>16</v>
      </c>
      <c r="K558" t="s">
        <v>16</v>
      </c>
      <c r="L558" t="s">
        <v>464</v>
      </c>
      <c r="M558" t="str">
        <f t="shared" si="22"/>
        <v>abx_challengedindustrial</v>
      </c>
      <c r="N558" t="s">
        <v>28</v>
      </c>
      <c r="O558" t="s">
        <v>465</v>
      </c>
      <c r="P558" t="s">
        <v>516</v>
      </c>
      <c r="Q558">
        <v>44.85785387</v>
      </c>
    </row>
    <row r="559" spans="1:17" x14ac:dyDescent="0.2">
      <c r="A559" t="s">
        <v>517</v>
      </c>
      <c r="B559">
        <v>0</v>
      </c>
      <c r="C559" t="s">
        <v>16</v>
      </c>
      <c r="D559">
        <v>0</v>
      </c>
      <c r="E559">
        <f t="shared" ref="E559:E560" si="24">D559*200</f>
        <v>0</v>
      </c>
      <c r="F559" t="s">
        <v>19</v>
      </c>
      <c r="G559" t="s">
        <v>36</v>
      </c>
      <c r="H559" t="s">
        <v>37</v>
      </c>
      <c r="I559">
        <v>1275.8222949999999</v>
      </c>
      <c r="J559" t="s">
        <v>37</v>
      </c>
      <c r="K559">
        <v>44.85785387</v>
      </c>
      <c r="L559" t="s">
        <v>464</v>
      </c>
      <c r="M559" t="str">
        <f t="shared" si="22"/>
        <v>controlindustrial</v>
      </c>
      <c r="N559" t="s">
        <v>28</v>
      </c>
      <c r="O559" t="s">
        <v>465</v>
      </c>
      <c r="P559" t="s">
        <v>516</v>
      </c>
      <c r="Q559" t="s">
        <v>16</v>
      </c>
    </row>
    <row r="560" spans="1:17" x14ac:dyDescent="0.2">
      <c r="A560" t="s">
        <v>518</v>
      </c>
      <c r="B560" t="s">
        <v>16</v>
      </c>
      <c r="C560">
        <v>68.894403915569498</v>
      </c>
      <c r="D560">
        <v>6.3791114736638423</v>
      </c>
      <c r="E560">
        <f t="shared" si="24"/>
        <v>1275.8222947327686</v>
      </c>
      <c r="F560" t="s">
        <v>19</v>
      </c>
      <c r="G560" t="s">
        <v>41</v>
      </c>
      <c r="H560" t="s">
        <v>16</v>
      </c>
      <c r="I560" t="s">
        <v>16</v>
      </c>
      <c r="J560" t="s">
        <v>16</v>
      </c>
      <c r="K560" t="s">
        <v>16</v>
      </c>
      <c r="L560" t="s">
        <v>464</v>
      </c>
      <c r="M560" t="str">
        <f t="shared" si="22"/>
        <v>challengedindustrial</v>
      </c>
      <c r="N560" t="s">
        <v>28</v>
      </c>
      <c r="O560" t="s">
        <v>465</v>
      </c>
      <c r="P560" t="s">
        <v>516</v>
      </c>
      <c r="Q560">
        <f>E560</f>
        <v>1275.8222947327686</v>
      </c>
    </row>
    <row r="561" spans="1:17" x14ac:dyDescent="0.2">
      <c r="A561" t="s">
        <v>519</v>
      </c>
      <c r="B561" s="1">
        <v>0.13078454</v>
      </c>
      <c r="C561">
        <v>94.721119529999996</v>
      </c>
      <c r="D561">
        <v>8.7704740309999991</v>
      </c>
      <c r="E561">
        <v>1754.0948060000001</v>
      </c>
      <c r="F561" t="s">
        <v>19</v>
      </c>
      <c r="G561" t="s">
        <v>32</v>
      </c>
      <c r="H561" t="s">
        <v>16</v>
      </c>
      <c r="I561" t="s">
        <v>16</v>
      </c>
      <c r="J561" t="s">
        <v>16</v>
      </c>
      <c r="K561" t="s">
        <v>16</v>
      </c>
      <c r="L561" t="s">
        <v>464</v>
      </c>
      <c r="M561" t="str">
        <f t="shared" si="22"/>
        <v>abx_challengedindustrial</v>
      </c>
      <c r="N561" t="s">
        <v>28</v>
      </c>
      <c r="O561" t="s">
        <v>465</v>
      </c>
      <c r="P561" t="s">
        <v>520</v>
      </c>
      <c r="Q561">
        <v>8.7704740309999991</v>
      </c>
    </row>
    <row r="562" spans="1:17" x14ac:dyDescent="0.2">
      <c r="A562" t="s">
        <v>1063</v>
      </c>
      <c r="B562">
        <v>0.14858043900000001</v>
      </c>
      <c r="C562">
        <v>208822825.5</v>
      </c>
      <c r="D562">
        <v>417645.65090000001</v>
      </c>
      <c r="E562">
        <v>83529130.189999998</v>
      </c>
      <c r="F562" t="s">
        <v>33</v>
      </c>
      <c r="G562" t="s">
        <v>32</v>
      </c>
      <c r="H562" t="s">
        <v>16</v>
      </c>
      <c r="I562" t="s">
        <v>16</v>
      </c>
      <c r="J562" t="s">
        <v>16</v>
      </c>
      <c r="K562" t="s">
        <v>16</v>
      </c>
      <c r="L562" t="s">
        <v>464</v>
      </c>
      <c r="M562" t="str">
        <f t="shared" si="22"/>
        <v>abx_challengedindustrial</v>
      </c>
      <c r="N562" t="s">
        <v>28</v>
      </c>
      <c r="O562" t="s">
        <v>465</v>
      </c>
      <c r="P562" t="s">
        <v>520</v>
      </c>
      <c r="Q562">
        <v>370921.4535</v>
      </c>
    </row>
    <row r="563" spans="1:17" x14ac:dyDescent="0.2">
      <c r="A563" t="s">
        <v>521</v>
      </c>
      <c r="B563">
        <v>0.194548159</v>
      </c>
      <c r="C563">
        <v>7787366.2419999996</v>
      </c>
      <c r="D563">
        <v>46724.19745</v>
      </c>
      <c r="E563">
        <v>9344839.4910000004</v>
      </c>
      <c r="F563" t="s">
        <v>17</v>
      </c>
      <c r="G563" t="s">
        <v>32</v>
      </c>
      <c r="H563" t="s">
        <v>16</v>
      </c>
      <c r="I563" t="s">
        <v>16</v>
      </c>
      <c r="J563" t="s">
        <v>16</v>
      </c>
      <c r="K563" t="s">
        <v>16</v>
      </c>
      <c r="L563" t="s">
        <v>464</v>
      </c>
      <c r="M563" t="str">
        <f t="shared" si="22"/>
        <v>abx_challengedindustrial</v>
      </c>
      <c r="N563" t="s">
        <v>28</v>
      </c>
      <c r="O563" t="s">
        <v>465</v>
      </c>
      <c r="P563" t="s">
        <v>520</v>
      </c>
      <c r="Q563">
        <v>46724.19745</v>
      </c>
    </row>
    <row r="564" spans="1:17" x14ac:dyDescent="0.2">
      <c r="A564" t="s">
        <v>522</v>
      </c>
      <c r="B564" s="1">
        <v>0</v>
      </c>
      <c r="C564" t="s">
        <v>16</v>
      </c>
      <c r="D564">
        <v>0</v>
      </c>
      <c r="E564">
        <v>0</v>
      </c>
      <c r="F564" t="s">
        <v>19</v>
      </c>
      <c r="G564" t="s">
        <v>36</v>
      </c>
      <c r="H564" t="s">
        <v>37</v>
      </c>
      <c r="I564">
        <v>0</v>
      </c>
      <c r="J564" t="s">
        <v>37</v>
      </c>
      <c r="K564">
        <v>1754.0948060000001</v>
      </c>
      <c r="L564" t="s">
        <v>464</v>
      </c>
      <c r="M564" t="str">
        <f t="shared" si="22"/>
        <v>controlindustrial</v>
      </c>
      <c r="N564" t="s">
        <v>28</v>
      </c>
      <c r="O564" t="s">
        <v>465</v>
      </c>
      <c r="P564" t="s">
        <v>520</v>
      </c>
      <c r="Q564" t="s">
        <v>16</v>
      </c>
    </row>
    <row r="565" spans="1:17" x14ac:dyDescent="0.2">
      <c r="A565" t="s">
        <v>1064</v>
      </c>
      <c r="B565" s="1">
        <v>0</v>
      </c>
      <c r="C565">
        <v>163146704</v>
      </c>
      <c r="D565">
        <v>9788802.2390000001</v>
      </c>
      <c r="E565">
        <v>1957760448</v>
      </c>
      <c r="F565" t="s">
        <v>33</v>
      </c>
      <c r="G565" t="s">
        <v>36</v>
      </c>
      <c r="H565" t="s">
        <v>38</v>
      </c>
      <c r="I565">
        <v>128463985.09999999</v>
      </c>
      <c r="J565" t="s">
        <v>38</v>
      </c>
      <c r="K565">
        <v>83529130.189999998</v>
      </c>
      <c r="L565" t="s">
        <v>464</v>
      </c>
      <c r="M565" t="str">
        <f t="shared" si="22"/>
        <v>controlindustrial</v>
      </c>
      <c r="N565" t="s">
        <v>28</v>
      </c>
      <c r="O565" t="s">
        <v>465</v>
      </c>
      <c r="P565" t="s">
        <v>520</v>
      </c>
      <c r="Q565" t="s">
        <v>16</v>
      </c>
    </row>
    <row r="566" spans="1:17" x14ac:dyDescent="0.2">
      <c r="A566" t="s">
        <v>523</v>
      </c>
      <c r="B566" s="1">
        <v>0</v>
      </c>
      <c r="C566" t="s">
        <v>16</v>
      </c>
      <c r="D566">
        <v>0</v>
      </c>
      <c r="E566">
        <v>0</v>
      </c>
      <c r="F566" t="s">
        <v>17</v>
      </c>
      <c r="G566" t="s">
        <v>36</v>
      </c>
      <c r="H566" t="s">
        <v>38</v>
      </c>
      <c r="I566">
        <v>110773954.2</v>
      </c>
      <c r="J566" t="s">
        <v>38</v>
      </c>
      <c r="K566">
        <v>9344839.4910000004</v>
      </c>
      <c r="L566" t="s">
        <v>464</v>
      </c>
      <c r="M566" t="str">
        <f t="shared" si="22"/>
        <v>controlindustrial</v>
      </c>
      <c r="N566" t="s">
        <v>28</v>
      </c>
      <c r="O566" t="s">
        <v>465</v>
      </c>
      <c r="P566" t="s">
        <v>520</v>
      </c>
      <c r="Q566" t="s">
        <v>16</v>
      </c>
    </row>
    <row r="567" spans="1:17" x14ac:dyDescent="0.2">
      <c r="A567" t="s">
        <v>524</v>
      </c>
      <c r="B567">
        <v>0.12094432400000001</v>
      </c>
      <c r="C567">
        <v>0.18742118999999999</v>
      </c>
      <c r="D567">
        <v>0</v>
      </c>
      <c r="E567">
        <v>0</v>
      </c>
      <c r="F567" t="s">
        <v>19</v>
      </c>
      <c r="G567" t="s">
        <v>41</v>
      </c>
      <c r="H567" t="s">
        <v>16</v>
      </c>
      <c r="I567" t="s">
        <v>16</v>
      </c>
      <c r="J567" t="s">
        <v>16</v>
      </c>
      <c r="K567" t="s">
        <v>16</v>
      </c>
      <c r="L567" t="s">
        <v>464</v>
      </c>
      <c r="M567" t="str">
        <f t="shared" si="22"/>
        <v>challengedindustrial</v>
      </c>
      <c r="N567" t="s">
        <v>28</v>
      </c>
      <c r="O567" t="s">
        <v>465</v>
      </c>
      <c r="P567" t="s">
        <v>520</v>
      </c>
      <c r="Q567">
        <v>0</v>
      </c>
    </row>
    <row r="568" spans="1:17" x14ac:dyDescent="0.2">
      <c r="A568" t="s">
        <v>1065</v>
      </c>
      <c r="B568">
        <v>7.3409422000000002E-2</v>
      </c>
      <c r="C568">
        <v>10705332.09</v>
      </c>
      <c r="D568">
        <v>642319.92539999995</v>
      </c>
      <c r="E568">
        <v>128463985.09999999</v>
      </c>
      <c r="F568" t="s">
        <v>33</v>
      </c>
      <c r="G568" t="s">
        <v>41</v>
      </c>
      <c r="H568" t="s">
        <v>16</v>
      </c>
      <c r="I568" t="s">
        <v>16</v>
      </c>
      <c r="J568" t="s">
        <v>16</v>
      </c>
      <c r="K568" t="s">
        <v>16</v>
      </c>
      <c r="L568" t="s">
        <v>464</v>
      </c>
      <c r="M568" t="str">
        <f t="shared" si="22"/>
        <v>challengedindustrial</v>
      </c>
      <c r="N568" t="s">
        <v>28</v>
      </c>
      <c r="O568" t="s">
        <v>465</v>
      </c>
      <c r="P568" t="s">
        <v>520</v>
      </c>
      <c r="Q568">
        <v>642319.92539999995</v>
      </c>
    </row>
    <row r="569" spans="1:17" x14ac:dyDescent="0.2">
      <c r="A569" t="s">
        <v>525</v>
      </c>
      <c r="B569">
        <v>0.113326308</v>
      </c>
      <c r="C569">
        <v>9231162.852</v>
      </c>
      <c r="D569">
        <v>553869.77110000001</v>
      </c>
      <c r="E569">
        <v>110773954.2</v>
      </c>
      <c r="F569" t="s">
        <v>17</v>
      </c>
      <c r="G569" t="s">
        <v>41</v>
      </c>
      <c r="H569" t="s">
        <v>16</v>
      </c>
      <c r="I569" t="s">
        <v>16</v>
      </c>
      <c r="J569" t="s">
        <v>16</v>
      </c>
      <c r="K569" t="s">
        <v>16</v>
      </c>
      <c r="L569" t="s">
        <v>464</v>
      </c>
      <c r="M569" t="str">
        <f t="shared" si="22"/>
        <v>challengedindustrial</v>
      </c>
      <c r="N569" t="s">
        <v>28</v>
      </c>
      <c r="O569" t="s">
        <v>465</v>
      </c>
      <c r="P569" t="s">
        <v>520</v>
      </c>
      <c r="Q569">
        <v>553869.77110000001</v>
      </c>
    </row>
    <row r="570" spans="1:17" x14ac:dyDescent="0.2">
      <c r="A570" t="s">
        <v>526</v>
      </c>
      <c r="B570">
        <v>0.19222012099999999</v>
      </c>
      <c r="C570">
        <v>16.314470069999999</v>
      </c>
      <c r="D570">
        <v>0</v>
      </c>
      <c r="E570">
        <v>0</v>
      </c>
      <c r="F570" t="s">
        <v>19</v>
      </c>
      <c r="G570" t="s">
        <v>32</v>
      </c>
      <c r="H570" t="s">
        <v>16</v>
      </c>
      <c r="I570" t="s">
        <v>16</v>
      </c>
      <c r="J570" t="s">
        <v>16</v>
      </c>
      <c r="K570" t="s">
        <v>16</v>
      </c>
      <c r="L570" t="s">
        <v>464</v>
      </c>
      <c r="M570" t="str">
        <f t="shared" si="22"/>
        <v>abx_challengedindustrial</v>
      </c>
      <c r="N570" t="s">
        <v>28</v>
      </c>
      <c r="O570" t="s">
        <v>465</v>
      </c>
      <c r="P570" t="s">
        <v>527</v>
      </c>
      <c r="Q570">
        <v>0</v>
      </c>
    </row>
    <row r="571" spans="1:17" x14ac:dyDescent="0.2">
      <c r="A571" t="s">
        <v>1066</v>
      </c>
      <c r="B571">
        <v>0.123888237</v>
      </c>
      <c r="C571">
        <v>15579770.630000001</v>
      </c>
      <c r="D571">
        <v>31159.541270000002</v>
      </c>
      <c r="E571">
        <v>6231908.2539999997</v>
      </c>
      <c r="F571" t="s">
        <v>33</v>
      </c>
      <c r="G571" t="s">
        <v>32</v>
      </c>
      <c r="H571" t="s">
        <v>16</v>
      </c>
      <c r="I571" t="s">
        <v>16</v>
      </c>
      <c r="J571" t="s">
        <v>16</v>
      </c>
      <c r="K571" t="s">
        <v>16</v>
      </c>
      <c r="L571" t="s">
        <v>464</v>
      </c>
      <c r="M571" t="str">
        <f t="shared" si="22"/>
        <v>abx_challengedindustrial</v>
      </c>
      <c r="N571" t="s">
        <v>28</v>
      </c>
      <c r="O571" t="s">
        <v>465</v>
      </c>
      <c r="P571" t="s">
        <v>527</v>
      </c>
      <c r="Q571">
        <v>31159.541270000002</v>
      </c>
    </row>
    <row r="572" spans="1:17" x14ac:dyDescent="0.2">
      <c r="A572" t="s">
        <v>528</v>
      </c>
      <c r="B572">
        <v>0.200990734</v>
      </c>
      <c r="C572">
        <v>9693522.8059999999</v>
      </c>
      <c r="D572">
        <v>58161.136839999999</v>
      </c>
      <c r="E572">
        <v>11632227.369999999</v>
      </c>
      <c r="F572" t="s">
        <v>17</v>
      </c>
      <c r="G572" t="s">
        <v>32</v>
      </c>
      <c r="H572" t="s">
        <v>16</v>
      </c>
      <c r="I572" t="s">
        <v>16</v>
      </c>
      <c r="J572" t="s">
        <v>16</v>
      </c>
      <c r="K572" t="s">
        <v>16</v>
      </c>
      <c r="L572" t="s">
        <v>464</v>
      </c>
      <c r="M572" t="str">
        <f t="shared" si="22"/>
        <v>abx_challengedindustrial</v>
      </c>
      <c r="N572" t="s">
        <v>28</v>
      </c>
      <c r="O572" t="s">
        <v>465</v>
      </c>
      <c r="P572" t="s">
        <v>527</v>
      </c>
      <c r="Q572">
        <v>58161.136839999999</v>
      </c>
    </row>
    <row r="573" spans="1:17" x14ac:dyDescent="0.2">
      <c r="A573" t="s">
        <v>529</v>
      </c>
      <c r="B573" s="1">
        <v>0</v>
      </c>
      <c r="C573" t="s">
        <v>16</v>
      </c>
      <c r="D573">
        <v>0</v>
      </c>
      <c r="E573">
        <v>0</v>
      </c>
      <c r="F573" t="s">
        <v>19</v>
      </c>
      <c r="G573" t="s">
        <v>36</v>
      </c>
      <c r="H573" t="s">
        <v>37</v>
      </c>
      <c r="I573">
        <v>9692.1389280000003</v>
      </c>
      <c r="J573" t="s">
        <v>37</v>
      </c>
      <c r="K573">
        <v>0</v>
      </c>
      <c r="L573" t="s">
        <v>464</v>
      </c>
      <c r="M573" t="str">
        <f t="shared" si="22"/>
        <v>controlindustrial</v>
      </c>
      <c r="N573" t="s">
        <v>28</v>
      </c>
      <c r="O573" t="s">
        <v>465</v>
      </c>
      <c r="P573" t="s">
        <v>527</v>
      </c>
      <c r="Q573" t="s">
        <v>16</v>
      </c>
    </row>
    <row r="574" spans="1:17" x14ac:dyDescent="0.2">
      <c r="A574" t="s">
        <v>1067</v>
      </c>
      <c r="B574" s="1">
        <v>0</v>
      </c>
      <c r="C574">
        <v>35839291.899999999</v>
      </c>
      <c r="D574">
        <v>2150357.514</v>
      </c>
      <c r="E574">
        <v>430071502.80000001</v>
      </c>
      <c r="F574" t="s">
        <v>33</v>
      </c>
      <c r="G574" t="s">
        <v>36</v>
      </c>
      <c r="H574" t="s">
        <v>38</v>
      </c>
      <c r="I574">
        <v>128325048.5</v>
      </c>
      <c r="J574" t="s">
        <v>38</v>
      </c>
      <c r="K574">
        <v>6231908.2539999997</v>
      </c>
      <c r="L574" t="s">
        <v>464</v>
      </c>
      <c r="M574" t="str">
        <f t="shared" si="22"/>
        <v>controlindustrial</v>
      </c>
      <c r="N574" t="s">
        <v>28</v>
      </c>
      <c r="O574" t="s">
        <v>465</v>
      </c>
      <c r="P574" t="s">
        <v>527</v>
      </c>
      <c r="Q574" t="s">
        <v>16</v>
      </c>
    </row>
    <row r="575" spans="1:17" x14ac:dyDescent="0.2">
      <c r="A575" t="s">
        <v>530</v>
      </c>
      <c r="B575" s="1">
        <v>0</v>
      </c>
      <c r="C575" t="s">
        <v>16</v>
      </c>
      <c r="D575">
        <v>0</v>
      </c>
      <c r="E575">
        <v>0</v>
      </c>
      <c r="F575" t="s">
        <v>17</v>
      </c>
      <c r="G575" t="s">
        <v>36</v>
      </c>
      <c r="H575" t="s">
        <v>38</v>
      </c>
      <c r="I575">
        <v>428332003.60000002</v>
      </c>
      <c r="J575" t="s">
        <v>38</v>
      </c>
      <c r="K575">
        <v>11632227.369999999</v>
      </c>
      <c r="L575" t="s">
        <v>464</v>
      </c>
      <c r="M575" t="str">
        <f t="shared" si="22"/>
        <v>controlindustrial</v>
      </c>
      <c r="N575" t="s">
        <v>28</v>
      </c>
      <c r="O575" t="s">
        <v>465</v>
      </c>
      <c r="P575" t="s">
        <v>527</v>
      </c>
      <c r="Q575" t="s">
        <v>16</v>
      </c>
    </row>
    <row r="576" spans="1:17" x14ac:dyDescent="0.2">
      <c r="A576" t="s">
        <v>531</v>
      </c>
      <c r="B576">
        <v>0.14431860299999999</v>
      </c>
      <c r="C576">
        <v>523.37550209999995</v>
      </c>
      <c r="D576">
        <v>48.46069464</v>
      </c>
      <c r="E576">
        <v>9692.1389280000003</v>
      </c>
      <c r="F576" t="s">
        <v>19</v>
      </c>
      <c r="G576" t="s">
        <v>41</v>
      </c>
      <c r="H576" t="s">
        <v>16</v>
      </c>
      <c r="I576" t="s">
        <v>16</v>
      </c>
      <c r="J576" t="s">
        <v>16</v>
      </c>
      <c r="K576" t="s">
        <v>16</v>
      </c>
      <c r="L576" t="s">
        <v>464</v>
      </c>
      <c r="M576" t="str">
        <f t="shared" si="22"/>
        <v>challengedindustrial</v>
      </c>
      <c r="N576" t="s">
        <v>28</v>
      </c>
      <c r="O576" t="s">
        <v>465</v>
      </c>
      <c r="P576" t="s">
        <v>527</v>
      </c>
      <c r="Q576">
        <v>48.46069464</v>
      </c>
    </row>
    <row r="577" spans="1:17" x14ac:dyDescent="0.2">
      <c r="A577" t="s">
        <v>1068</v>
      </c>
      <c r="B577">
        <v>5.4151175000000003E-2</v>
      </c>
      <c r="C577">
        <v>10693754.050000001</v>
      </c>
      <c r="D577">
        <v>641625.24269999994</v>
      </c>
      <c r="E577">
        <v>128325048.5</v>
      </c>
      <c r="F577" t="s">
        <v>33</v>
      </c>
      <c r="G577" t="s">
        <v>41</v>
      </c>
      <c r="H577" t="s">
        <v>16</v>
      </c>
      <c r="I577" t="s">
        <v>16</v>
      </c>
      <c r="J577" t="s">
        <v>16</v>
      </c>
      <c r="K577" t="s">
        <v>16</v>
      </c>
      <c r="L577" t="s">
        <v>464</v>
      </c>
      <c r="M577" t="str">
        <f t="shared" si="22"/>
        <v>challengedindustrial</v>
      </c>
      <c r="N577" t="s">
        <v>28</v>
      </c>
      <c r="O577" t="s">
        <v>465</v>
      </c>
      <c r="P577" t="s">
        <v>527</v>
      </c>
      <c r="Q577">
        <v>-1500034.7749999999</v>
      </c>
    </row>
    <row r="578" spans="1:17" x14ac:dyDescent="0.2">
      <c r="A578" t="s">
        <v>532</v>
      </c>
      <c r="B578" t="s">
        <v>16</v>
      </c>
      <c r="C578">
        <v>35694333.640000001</v>
      </c>
      <c r="D578">
        <v>2141660.0180000002</v>
      </c>
      <c r="E578">
        <v>428332003.60000002</v>
      </c>
      <c r="F578" t="s">
        <v>17</v>
      </c>
      <c r="G578" t="s">
        <v>41</v>
      </c>
      <c r="H578" t="s">
        <v>16</v>
      </c>
      <c r="I578" t="s">
        <v>16</v>
      </c>
      <c r="J578" t="s">
        <v>16</v>
      </c>
      <c r="K578" t="s">
        <v>16</v>
      </c>
      <c r="L578" t="s">
        <v>464</v>
      </c>
      <c r="M578" t="str">
        <f t="shared" si="22"/>
        <v>challengedindustrial</v>
      </c>
      <c r="N578" t="s">
        <v>28</v>
      </c>
      <c r="O578" t="s">
        <v>465</v>
      </c>
      <c r="P578" t="s">
        <v>527</v>
      </c>
      <c r="Q578">
        <v>2141660.0180000002</v>
      </c>
    </row>
    <row r="579" spans="1:17" x14ac:dyDescent="0.2">
      <c r="A579" t="s">
        <v>533</v>
      </c>
      <c r="B579">
        <v>0.126391212</v>
      </c>
      <c r="C579">
        <v>4.223592676</v>
      </c>
      <c r="D579">
        <v>0</v>
      </c>
      <c r="E579">
        <v>0</v>
      </c>
      <c r="F579" t="s">
        <v>19</v>
      </c>
      <c r="G579" t="s">
        <v>32</v>
      </c>
      <c r="H579" t="s">
        <v>16</v>
      </c>
      <c r="I579" t="s">
        <v>16</v>
      </c>
      <c r="J579" t="s">
        <v>16</v>
      </c>
      <c r="K579" t="s">
        <v>16</v>
      </c>
      <c r="L579" t="s">
        <v>464</v>
      </c>
      <c r="M579" t="str">
        <f t="shared" si="22"/>
        <v>abx_challengedindustrial</v>
      </c>
      <c r="N579" t="s">
        <v>28</v>
      </c>
      <c r="O579" t="s">
        <v>465</v>
      </c>
      <c r="P579" t="s">
        <v>534</v>
      </c>
      <c r="Q579">
        <v>0</v>
      </c>
    </row>
    <row r="580" spans="1:17" x14ac:dyDescent="0.2">
      <c r="A580" t="s">
        <v>535</v>
      </c>
      <c r="B580">
        <v>0</v>
      </c>
      <c r="C580">
        <v>46.14627316</v>
      </c>
      <c r="D580">
        <v>0</v>
      </c>
      <c r="E580">
        <v>0</v>
      </c>
      <c r="F580" t="s">
        <v>19</v>
      </c>
      <c r="G580" t="s">
        <v>36</v>
      </c>
      <c r="H580" t="s">
        <v>37</v>
      </c>
      <c r="I580">
        <v>0</v>
      </c>
      <c r="J580" t="s">
        <v>37</v>
      </c>
      <c r="K580">
        <v>0</v>
      </c>
      <c r="L580" t="s">
        <v>464</v>
      </c>
      <c r="M580" t="str">
        <f t="shared" si="22"/>
        <v>controlindustrial</v>
      </c>
      <c r="N580" t="s">
        <v>28</v>
      </c>
      <c r="O580" t="s">
        <v>465</v>
      </c>
      <c r="P580" t="s">
        <v>534</v>
      </c>
      <c r="Q580" t="s">
        <v>16</v>
      </c>
    </row>
    <row r="581" spans="1:17" x14ac:dyDescent="0.2">
      <c r="A581" t="s">
        <v>536</v>
      </c>
      <c r="B581">
        <v>5.7883692E-2</v>
      </c>
      <c r="C581">
        <v>2.6248443770000001</v>
      </c>
      <c r="D581">
        <v>0</v>
      </c>
      <c r="E581">
        <v>0</v>
      </c>
      <c r="F581" t="s">
        <v>19</v>
      </c>
      <c r="G581" t="s">
        <v>41</v>
      </c>
      <c r="H581" t="s">
        <v>16</v>
      </c>
      <c r="I581" t="s">
        <v>16</v>
      </c>
      <c r="J581" t="s">
        <v>16</v>
      </c>
      <c r="K581" t="s">
        <v>16</v>
      </c>
      <c r="L581" t="s">
        <v>464</v>
      </c>
      <c r="M581" t="str">
        <f t="shared" si="22"/>
        <v>challengedindustrial</v>
      </c>
      <c r="N581" t="s">
        <v>28</v>
      </c>
      <c r="O581" t="s">
        <v>465</v>
      </c>
      <c r="P581" t="s">
        <v>534</v>
      </c>
      <c r="Q581">
        <v>0</v>
      </c>
    </row>
    <row r="582" spans="1:17" x14ac:dyDescent="0.2">
      <c r="A582" t="s">
        <v>537</v>
      </c>
      <c r="B582" t="s">
        <v>16</v>
      </c>
      <c r="C582" t="s">
        <v>16</v>
      </c>
      <c r="D582" t="s">
        <v>16</v>
      </c>
      <c r="E582" t="s">
        <v>16</v>
      </c>
      <c r="F582" t="s">
        <v>26</v>
      </c>
      <c r="G582" t="s">
        <v>26</v>
      </c>
      <c r="H582" t="s">
        <v>16</v>
      </c>
      <c r="I582" t="s">
        <v>16</v>
      </c>
      <c r="J582" t="s">
        <v>16</v>
      </c>
      <c r="K582" t="s">
        <v>16</v>
      </c>
      <c r="L582" t="s">
        <v>464</v>
      </c>
      <c r="M582" t="str">
        <f t="shared" si="22"/>
        <v>fecalindustrial</v>
      </c>
      <c r="N582" t="s">
        <v>28</v>
      </c>
      <c r="O582" t="s">
        <v>538</v>
      </c>
      <c r="P582" t="s">
        <v>539</v>
      </c>
      <c r="Q582" t="s">
        <v>16</v>
      </c>
    </row>
    <row r="583" spans="1:17" x14ac:dyDescent="0.2">
      <c r="A583" t="s">
        <v>540</v>
      </c>
      <c r="B583">
        <v>0.104798723</v>
      </c>
      <c r="C583">
        <v>379.58942810000002</v>
      </c>
      <c r="D583">
        <v>35.147169269999999</v>
      </c>
      <c r="E583">
        <v>7029.4338530000005</v>
      </c>
      <c r="F583" t="s">
        <v>19</v>
      </c>
      <c r="G583" t="s">
        <v>32</v>
      </c>
      <c r="H583" t="s">
        <v>16</v>
      </c>
      <c r="I583" t="s">
        <v>16</v>
      </c>
      <c r="J583" t="s">
        <v>16</v>
      </c>
      <c r="K583" t="s">
        <v>16</v>
      </c>
      <c r="L583" t="s">
        <v>464</v>
      </c>
      <c r="M583" t="str">
        <f t="shared" si="22"/>
        <v>abx_challengedindustrial</v>
      </c>
      <c r="N583" t="s">
        <v>28</v>
      </c>
      <c r="O583" t="s">
        <v>538</v>
      </c>
      <c r="P583" t="s">
        <v>539</v>
      </c>
      <c r="Q583">
        <v>-47724.766559999996</v>
      </c>
    </row>
    <row r="584" spans="1:17" x14ac:dyDescent="0.2">
      <c r="A584" t="s">
        <v>1069</v>
      </c>
      <c r="B584">
        <v>0.131897393</v>
      </c>
      <c r="C584">
        <v>11984292.890000001</v>
      </c>
      <c r="D584">
        <v>23968.585780000001</v>
      </c>
      <c r="E584">
        <v>4793717.1560000004</v>
      </c>
      <c r="F584" t="s">
        <v>33</v>
      </c>
      <c r="G584" t="s">
        <v>32</v>
      </c>
      <c r="H584" t="s">
        <v>16</v>
      </c>
      <c r="I584" t="s">
        <v>16</v>
      </c>
      <c r="J584" t="s">
        <v>16</v>
      </c>
      <c r="K584" t="s">
        <v>16</v>
      </c>
      <c r="L584" t="s">
        <v>464</v>
      </c>
      <c r="M584" t="str">
        <f t="shared" si="22"/>
        <v>abx_challengedindustrial</v>
      </c>
      <c r="N584" t="s">
        <v>28</v>
      </c>
      <c r="O584" t="s">
        <v>538</v>
      </c>
      <c r="P584" t="s">
        <v>539</v>
      </c>
      <c r="Q584">
        <v>23951.139350000001</v>
      </c>
    </row>
    <row r="585" spans="1:17" x14ac:dyDescent="0.2">
      <c r="A585" t="s">
        <v>541</v>
      </c>
      <c r="B585">
        <v>0.27455321999999999</v>
      </c>
      <c r="C585">
        <v>7959985.6210000003</v>
      </c>
      <c r="D585">
        <v>47759.91373</v>
      </c>
      <c r="E585">
        <v>9551982.7449999992</v>
      </c>
      <c r="F585" t="s">
        <v>17</v>
      </c>
      <c r="G585" t="s">
        <v>32</v>
      </c>
      <c r="H585" t="s">
        <v>16</v>
      </c>
      <c r="I585" t="s">
        <v>16</v>
      </c>
      <c r="J585" t="s">
        <v>16</v>
      </c>
      <c r="K585" t="s">
        <v>16</v>
      </c>
      <c r="L585" t="s">
        <v>464</v>
      </c>
      <c r="M585" t="str">
        <f t="shared" si="22"/>
        <v>abx_challengedindustrial</v>
      </c>
      <c r="N585" t="s">
        <v>28</v>
      </c>
      <c r="O585" t="s">
        <v>538</v>
      </c>
      <c r="P585" t="s">
        <v>539</v>
      </c>
      <c r="Q585">
        <v>-107406154.7</v>
      </c>
    </row>
    <row r="586" spans="1:17" x14ac:dyDescent="0.2">
      <c r="A586" t="s">
        <v>542</v>
      </c>
      <c r="B586" s="1">
        <v>0</v>
      </c>
      <c r="C586">
        <v>188.42151269999999</v>
      </c>
      <c r="D586">
        <v>17.44643636</v>
      </c>
      <c r="E586">
        <v>3489.287272</v>
      </c>
      <c r="F586" t="s">
        <v>19</v>
      </c>
      <c r="G586" t="s">
        <v>36</v>
      </c>
      <c r="H586" t="s">
        <v>37</v>
      </c>
      <c r="I586">
        <v>33258.646789999999</v>
      </c>
      <c r="J586" t="s">
        <v>37</v>
      </c>
      <c r="K586">
        <v>7029.4338530000005</v>
      </c>
      <c r="L586" t="s">
        <v>464</v>
      </c>
      <c r="M586" t="str">
        <f t="shared" ref="M586:M649" si="25">CONCATENATE(G586, L586)</f>
        <v>controlindustrial</v>
      </c>
      <c r="N586" t="s">
        <v>28</v>
      </c>
      <c r="O586" t="s">
        <v>538</v>
      </c>
      <c r="P586" t="s">
        <v>539</v>
      </c>
      <c r="Q586" t="s">
        <v>16</v>
      </c>
    </row>
    <row r="587" spans="1:17" x14ac:dyDescent="0.2">
      <c r="A587" t="s">
        <v>1070</v>
      </c>
      <c r="B587" s="1">
        <v>0</v>
      </c>
      <c r="C587">
        <v>1790898576</v>
      </c>
      <c r="D587">
        <v>107453914.59999999</v>
      </c>
      <c r="E587">
        <v>21490782915</v>
      </c>
      <c r="F587" t="s">
        <v>33</v>
      </c>
      <c r="G587" t="s">
        <v>36</v>
      </c>
      <c r="H587" t="s">
        <v>38</v>
      </c>
      <c r="I587">
        <v>6363975.0190000003</v>
      </c>
      <c r="J587" t="s">
        <v>38</v>
      </c>
      <c r="K587">
        <v>4793717.1560000004</v>
      </c>
      <c r="L587" t="s">
        <v>464</v>
      </c>
      <c r="M587" t="str">
        <f t="shared" si="25"/>
        <v>controlindustrial</v>
      </c>
      <c r="N587" t="s">
        <v>28</v>
      </c>
      <c r="O587" t="s">
        <v>538</v>
      </c>
      <c r="P587" t="s">
        <v>539</v>
      </c>
      <c r="Q587" t="s">
        <v>16</v>
      </c>
    </row>
    <row r="588" spans="1:17" x14ac:dyDescent="0.2">
      <c r="A588" t="s">
        <v>543</v>
      </c>
      <c r="B588" s="1">
        <v>0</v>
      </c>
      <c r="C588">
        <v>24050.255829999998</v>
      </c>
      <c r="D588">
        <v>1443.0153499999999</v>
      </c>
      <c r="E588">
        <v>288603.07</v>
      </c>
      <c r="F588" t="s">
        <v>17</v>
      </c>
      <c r="G588" t="s">
        <v>36</v>
      </c>
      <c r="H588" t="s">
        <v>38</v>
      </c>
      <c r="I588">
        <v>125244776.90000001</v>
      </c>
      <c r="J588" t="s">
        <v>38</v>
      </c>
      <c r="K588">
        <v>9551982.7449999992</v>
      </c>
      <c r="L588" t="s">
        <v>464</v>
      </c>
      <c r="M588" t="str">
        <f t="shared" si="25"/>
        <v>controlindustrial</v>
      </c>
      <c r="N588" t="s">
        <v>28</v>
      </c>
      <c r="O588" t="s">
        <v>538</v>
      </c>
      <c r="P588" t="s">
        <v>539</v>
      </c>
      <c r="Q588" t="s">
        <v>16</v>
      </c>
    </row>
    <row r="589" spans="1:17" x14ac:dyDescent="0.2">
      <c r="A589" t="s">
        <v>544</v>
      </c>
      <c r="B589" t="s">
        <v>16</v>
      </c>
      <c r="C589">
        <v>1795.9669260000001</v>
      </c>
      <c r="D589">
        <v>166.29323389999999</v>
      </c>
      <c r="E589">
        <v>33258.646789999999</v>
      </c>
      <c r="F589" t="s">
        <v>19</v>
      </c>
      <c r="G589" t="s">
        <v>41</v>
      </c>
      <c r="H589" t="s">
        <v>16</v>
      </c>
      <c r="I589" t="s">
        <v>16</v>
      </c>
      <c r="J589" t="s">
        <v>16</v>
      </c>
      <c r="K589" t="s">
        <v>16</v>
      </c>
      <c r="L589" t="s">
        <v>464</v>
      </c>
      <c r="M589" t="str">
        <f t="shared" si="25"/>
        <v>challengedindustrial</v>
      </c>
      <c r="N589" t="s">
        <v>28</v>
      </c>
      <c r="O589" t="s">
        <v>538</v>
      </c>
      <c r="P589" t="s">
        <v>539</v>
      </c>
      <c r="Q589">
        <v>-31653.581859999998</v>
      </c>
    </row>
    <row r="590" spans="1:17" x14ac:dyDescent="0.2">
      <c r="A590" t="s">
        <v>1071</v>
      </c>
      <c r="B590">
        <v>9.1635334999999998E-2</v>
      </c>
      <c r="C590">
        <v>530331.25159999996</v>
      </c>
      <c r="D590">
        <v>31819.875100000001</v>
      </c>
      <c r="E590">
        <v>6363975.0190000003</v>
      </c>
      <c r="F590" t="s">
        <v>33</v>
      </c>
      <c r="G590" t="s">
        <v>41</v>
      </c>
      <c r="H590" t="s">
        <v>16</v>
      </c>
      <c r="I590" t="s">
        <v>16</v>
      </c>
      <c r="J590" t="s">
        <v>16</v>
      </c>
      <c r="K590" t="s">
        <v>16</v>
      </c>
      <c r="L590" t="s">
        <v>464</v>
      </c>
      <c r="M590" t="str">
        <f t="shared" si="25"/>
        <v>challengedindustrial</v>
      </c>
      <c r="N590" t="s">
        <v>28</v>
      </c>
      <c r="O590" t="s">
        <v>538</v>
      </c>
      <c r="P590" t="s">
        <v>539</v>
      </c>
      <c r="Q590">
        <v>-594404.00939999998</v>
      </c>
    </row>
    <row r="591" spans="1:17" x14ac:dyDescent="0.2">
      <c r="A591" t="s">
        <v>545</v>
      </c>
      <c r="B591">
        <v>7.5680627E-2</v>
      </c>
      <c r="C591">
        <v>10437064.74</v>
      </c>
      <c r="D591">
        <v>626223.88450000004</v>
      </c>
      <c r="E591">
        <v>125244776.90000001</v>
      </c>
      <c r="F591" t="s">
        <v>17</v>
      </c>
      <c r="G591" t="s">
        <v>41</v>
      </c>
      <c r="H591" t="s">
        <v>16</v>
      </c>
      <c r="I591" t="s">
        <v>16</v>
      </c>
      <c r="J591" t="s">
        <v>16</v>
      </c>
      <c r="K591" t="s">
        <v>16</v>
      </c>
      <c r="L591" t="s">
        <v>464</v>
      </c>
      <c r="M591" t="str">
        <f t="shared" si="25"/>
        <v>challengedindustrial</v>
      </c>
      <c r="N591" t="s">
        <v>28</v>
      </c>
      <c r="O591" t="s">
        <v>538</v>
      </c>
      <c r="P591" t="s">
        <v>539</v>
      </c>
      <c r="Q591">
        <v>124956173.8</v>
      </c>
    </row>
    <row r="592" spans="1:17" x14ac:dyDescent="0.2">
      <c r="A592" t="s">
        <v>546</v>
      </c>
      <c r="B592" t="s">
        <v>16</v>
      </c>
      <c r="C592" t="s">
        <v>16</v>
      </c>
      <c r="D592" t="s">
        <v>16</v>
      </c>
      <c r="E592" t="s">
        <v>16</v>
      </c>
      <c r="F592" t="s">
        <v>26</v>
      </c>
      <c r="G592" t="s">
        <v>26</v>
      </c>
      <c r="H592" t="s">
        <v>16</v>
      </c>
      <c r="I592" t="s">
        <v>16</v>
      </c>
      <c r="J592" t="s">
        <v>16</v>
      </c>
      <c r="K592" t="s">
        <v>16</v>
      </c>
      <c r="L592" t="s">
        <v>464</v>
      </c>
      <c r="M592" t="str">
        <f t="shared" si="25"/>
        <v>fecalindustrial</v>
      </c>
      <c r="N592" t="s">
        <v>28</v>
      </c>
      <c r="O592" t="s">
        <v>538</v>
      </c>
      <c r="P592" t="s">
        <v>547</v>
      </c>
      <c r="Q592" t="s">
        <v>16</v>
      </c>
    </row>
    <row r="593" spans="1:17" x14ac:dyDescent="0.2">
      <c r="A593" t="s">
        <v>548</v>
      </c>
      <c r="B593">
        <v>0.101006545</v>
      </c>
      <c r="C593">
        <v>369.3121802</v>
      </c>
      <c r="D593">
        <v>34.195572239999997</v>
      </c>
      <c r="E593">
        <v>6839.1144469999999</v>
      </c>
      <c r="F593" t="s">
        <v>19</v>
      </c>
      <c r="G593" t="s">
        <v>32</v>
      </c>
      <c r="H593" t="s">
        <v>16</v>
      </c>
      <c r="I593" t="s">
        <v>16</v>
      </c>
      <c r="J593" t="s">
        <v>16</v>
      </c>
      <c r="K593" t="s">
        <v>16</v>
      </c>
      <c r="L593" t="s">
        <v>464</v>
      </c>
      <c r="M593" t="str">
        <f t="shared" si="25"/>
        <v>abx_challengedindustrial</v>
      </c>
      <c r="N593" t="s">
        <v>28</v>
      </c>
      <c r="O593" t="s">
        <v>538</v>
      </c>
      <c r="P593" t="s">
        <v>547</v>
      </c>
      <c r="Q593">
        <v>34.195572239999997</v>
      </c>
    </row>
    <row r="594" spans="1:17" x14ac:dyDescent="0.2">
      <c r="A594" t="s">
        <v>1072</v>
      </c>
      <c r="B594">
        <v>0.19701281400000001</v>
      </c>
      <c r="C594">
        <v>30530136.16</v>
      </c>
      <c r="D594">
        <v>61060.272319999996</v>
      </c>
      <c r="E594">
        <v>12212054.460000001</v>
      </c>
      <c r="F594" t="s">
        <v>33</v>
      </c>
      <c r="G594" t="s">
        <v>32</v>
      </c>
      <c r="H594" t="s">
        <v>16</v>
      </c>
      <c r="I594" t="s">
        <v>16</v>
      </c>
      <c r="J594" t="s">
        <v>16</v>
      </c>
      <c r="K594" t="s">
        <v>16</v>
      </c>
      <c r="L594" t="s">
        <v>464</v>
      </c>
      <c r="M594" t="str">
        <f t="shared" si="25"/>
        <v>abx_challengedindustrial</v>
      </c>
      <c r="N594" t="s">
        <v>28</v>
      </c>
      <c r="O594" t="s">
        <v>538</v>
      </c>
      <c r="P594" t="s">
        <v>547</v>
      </c>
      <c r="Q594">
        <v>61060.272319999996</v>
      </c>
    </row>
    <row r="595" spans="1:17" x14ac:dyDescent="0.2">
      <c r="A595" t="s">
        <v>549</v>
      </c>
      <c r="B595">
        <v>0.20258896200000001</v>
      </c>
      <c r="C595">
        <v>5696971.7960000001</v>
      </c>
      <c r="D595">
        <v>34181.83077</v>
      </c>
      <c r="E595">
        <v>6836366.1550000003</v>
      </c>
      <c r="F595" t="s">
        <v>17</v>
      </c>
      <c r="G595" t="s">
        <v>32</v>
      </c>
      <c r="H595" t="s">
        <v>16</v>
      </c>
      <c r="I595" t="s">
        <v>16</v>
      </c>
      <c r="J595" t="s">
        <v>16</v>
      </c>
      <c r="K595" t="s">
        <v>16</v>
      </c>
      <c r="L595" t="s">
        <v>464</v>
      </c>
      <c r="M595" t="str">
        <f t="shared" si="25"/>
        <v>abx_challengedindustrial</v>
      </c>
      <c r="N595" t="s">
        <v>28</v>
      </c>
      <c r="O595" t="s">
        <v>538</v>
      </c>
      <c r="P595" t="s">
        <v>547</v>
      </c>
      <c r="Q595">
        <v>34181.83077</v>
      </c>
    </row>
    <row r="596" spans="1:17" x14ac:dyDescent="0.2">
      <c r="A596" t="s">
        <v>550</v>
      </c>
      <c r="B596" s="1">
        <v>0</v>
      </c>
      <c r="C596" t="s">
        <v>16</v>
      </c>
      <c r="D596">
        <v>0</v>
      </c>
      <c r="E596">
        <v>0</v>
      </c>
      <c r="F596" t="s">
        <v>19</v>
      </c>
      <c r="G596" t="s">
        <v>36</v>
      </c>
      <c r="H596" t="s">
        <v>37</v>
      </c>
      <c r="I596">
        <v>6061.8597490000002</v>
      </c>
      <c r="J596" t="s">
        <v>37</v>
      </c>
      <c r="K596">
        <v>6839.1144469999999</v>
      </c>
      <c r="L596" t="s">
        <v>464</v>
      </c>
      <c r="M596" t="str">
        <f t="shared" si="25"/>
        <v>controlindustrial</v>
      </c>
      <c r="N596" t="s">
        <v>28</v>
      </c>
      <c r="O596" t="s">
        <v>538</v>
      </c>
      <c r="P596" t="s">
        <v>547</v>
      </c>
      <c r="Q596" t="s">
        <v>16</v>
      </c>
    </row>
    <row r="597" spans="1:17" x14ac:dyDescent="0.2">
      <c r="A597" t="s">
        <v>1073</v>
      </c>
      <c r="B597" s="1">
        <v>0</v>
      </c>
      <c r="C597">
        <v>2278574364</v>
      </c>
      <c r="D597">
        <v>136714461.80000001</v>
      </c>
      <c r="E597">
        <v>27342892364</v>
      </c>
      <c r="F597" t="s">
        <v>33</v>
      </c>
      <c r="G597" t="s">
        <v>36</v>
      </c>
      <c r="H597" t="s">
        <v>38</v>
      </c>
      <c r="I597">
        <v>25630014.030000001</v>
      </c>
      <c r="J597" t="s">
        <v>38</v>
      </c>
      <c r="K597">
        <v>12212054.460000001</v>
      </c>
      <c r="L597" t="s">
        <v>464</v>
      </c>
      <c r="M597" t="str">
        <f t="shared" si="25"/>
        <v>controlindustrial</v>
      </c>
      <c r="N597" t="s">
        <v>28</v>
      </c>
      <c r="O597" t="s">
        <v>538</v>
      </c>
      <c r="P597" t="s">
        <v>547</v>
      </c>
      <c r="Q597" t="s">
        <v>16</v>
      </c>
    </row>
    <row r="598" spans="1:17" x14ac:dyDescent="0.2">
      <c r="A598" t="s">
        <v>551</v>
      </c>
      <c r="B598" s="1">
        <v>0</v>
      </c>
      <c r="C598" t="s">
        <v>16</v>
      </c>
      <c r="D598">
        <v>0</v>
      </c>
      <c r="E598">
        <v>0</v>
      </c>
      <c r="F598" t="s">
        <v>17</v>
      </c>
      <c r="G598" t="s">
        <v>36</v>
      </c>
      <c r="H598" t="s">
        <v>38</v>
      </c>
      <c r="I598">
        <v>100522873.3</v>
      </c>
      <c r="J598" t="s">
        <v>38</v>
      </c>
      <c r="K598">
        <v>6836366.1550000003</v>
      </c>
      <c r="L598" t="s">
        <v>464</v>
      </c>
      <c r="M598" t="str">
        <f t="shared" si="25"/>
        <v>controlindustrial</v>
      </c>
      <c r="N598" t="s">
        <v>28</v>
      </c>
      <c r="O598" t="s">
        <v>538</v>
      </c>
      <c r="P598" t="s">
        <v>547</v>
      </c>
      <c r="Q598" t="s">
        <v>16</v>
      </c>
    </row>
    <row r="599" spans="1:17" x14ac:dyDescent="0.2">
      <c r="A599" t="s">
        <v>552</v>
      </c>
      <c r="B599">
        <v>5.9274030999999998E-2</v>
      </c>
      <c r="C599">
        <v>327.34042640000001</v>
      </c>
      <c r="D599">
        <v>30.309298739999999</v>
      </c>
      <c r="E599">
        <v>6061.8597490000002</v>
      </c>
      <c r="F599" t="s">
        <v>19</v>
      </c>
      <c r="G599" t="s">
        <v>41</v>
      </c>
      <c r="H599" t="s">
        <v>16</v>
      </c>
      <c r="I599" t="s">
        <v>16</v>
      </c>
      <c r="J599" t="s">
        <v>16</v>
      </c>
      <c r="K599" t="s">
        <v>16</v>
      </c>
      <c r="L599" t="s">
        <v>464</v>
      </c>
      <c r="M599" t="str">
        <f t="shared" si="25"/>
        <v>challengedindustrial</v>
      </c>
      <c r="N599" t="s">
        <v>28</v>
      </c>
      <c r="O599" t="s">
        <v>538</v>
      </c>
      <c r="P599" t="s">
        <v>547</v>
      </c>
      <c r="Q599">
        <v>30.309298739999999</v>
      </c>
    </row>
    <row r="600" spans="1:17" x14ac:dyDescent="0.2">
      <c r="A600" t="s">
        <v>1074</v>
      </c>
      <c r="B600">
        <v>6.3344194000000006E-2</v>
      </c>
      <c r="C600">
        <v>2135834.5019999999</v>
      </c>
      <c r="D600">
        <v>128150.0701</v>
      </c>
      <c r="E600">
        <v>25630014.030000001</v>
      </c>
      <c r="F600" t="s">
        <v>33</v>
      </c>
      <c r="G600" t="s">
        <v>41</v>
      </c>
      <c r="H600" t="s">
        <v>16</v>
      </c>
      <c r="I600" t="s">
        <v>16</v>
      </c>
      <c r="J600" t="s">
        <v>16</v>
      </c>
      <c r="K600" t="s">
        <v>16</v>
      </c>
      <c r="L600" t="s">
        <v>464</v>
      </c>
      <c r="M600" t="str">
        <f t="shared" si="25"/>
        <v>challengedindustrial</v>
      </c>
      <c r="N600" t="s">
        <v>28</v>
      </c>
      <c r="O600" t="s">
        <v>538</v>
      </c>
      <c r="P600" t="s">
        <v>547</v>
      </c>
      <c r="Q600">
        <v>-374464.29639999999</v>
      </c>
    </row>
    <row r="601" spans="1:17" x14ac:dyDescent="0.2">
      <c r="A601" t="s">
        <v>553</v>
      </c>
      <c r="B601">
        <v>9.1041398999999995E-2</v>
      </c>
      <c r="C601">
        <v>8376906.108</v>
      </c>
      <c r="D601">
        <v>502614.3665</v>
      </c>
      <c r="E601">
        <v>100522873.3</v>
      </c>
      <c r="F601" t="s">
        <v>17</v>
      </c>
      <c r="G601" t="s">
        <v>41</v>
      </c>
      <c r="H601" t="s">
        <v>16</v>
      </c>
      <c r="I601" t="s">
        <v>16</v>
      </c>
      <c r="J601" t="s">
        <v>16</v>
      </c>
      <c r="K601" t="s">
        <v>16</v>
      </c>
      <c r="L601" t="s">
        <v>464</v>
      </c>
      <c r="M601" t="str">
        <f t="shared" si="25"/>
        <v>challengedindustrial</v>
      </c>
      <c r="N601" t="s">
        <v>28</v>
      </c>
      <c r="O601" t="s">
        <v>538</v>
      </c>
      <c r="P601" t="s">
        <v>547</v>
      </c>
      <c r="Q601">
        <v>502614.3665</v>
      </c>
    </row>
    <row r="602" spans="1:17" x14ac:dyDescent="0.2">
      <c r="A602" t="s">
        <v>554</v>
      </c>
      <c r="B602" t="s">
        <v>16</v>
      </c>
      <c r="C602" t="s">
        <v>16</v>
      </c>
      <c r="D602" t="s">
        <v>16</v>
      </c>
      <c r="E602" t="s">
        <v>16</v>
      </c>
      <c r="F602" t="s">
        <v>26</v>
      </c>
      <c r="G602" t="s">
        <v>26</v>
      </c>
      <c r="H602" t="s">
        <v>16</v>
      </c>
      <c r="I602" t="s">
        <v>16</v>
      </c>
      <c r="J602" t="s">
        <v>16</v>
      </c>
      <c r="K602" t="s">
        <v>16</v>
      </c>
      <c r="L602" t="s">
        <v>464</v>
      </c>
      <c r="M602" t="str">
        <f t="shared" si="25"/>
        <v>fecalindustrial</v>
      </c>
      <c r="N602" t="s">
        <v>28</v>
      </c>
      <c r="O602" t="s">
        <v>538</v>
      </c>
      <c r="P602" t="s">
        <v>555</v>
      </c>
      <c r="Q602" t="s">
        <v>16</v>
      </c>
    </row>
    <row r="603" spans="1:17" x14ac:dyDescent="0.2">
      <c r="A603" t="s">
        <v>556</v>
      </c>
      <c r="B603">
        <v>0.19243734900000001</v>
      </c>
      <c r="C603">
        <v>120.2383217</v>
      </c>
      <c r="D603">
        <v>11.13317793</v>
      </c>
      <c r="E603">
        <v>2226.6355870000002</v>
      </c>
      <c r="F603" t="s">
        <v>19</v>
      </c>
      <c r="G603" t="s">
        <v>32</v>
      </c>
      <c r="H603" t="s">
        <v>16</v>
      </c>
      <c r="I603" t="s">
        <v>16</v>
      </c>
      <c r="J603" t="s">
        <v>16</v>
      </c>
      <c r="K603" t="s">
        <v>16</v>
      </c>
      <c r="L603" t="s">
        <v>464</v>
      </c>
      <c r="M603" t="str">
        <f t="shared" si="25"/>
        <v>abx_challengedindustrial</v>
      </c>
      <c r="N603" t="s">
        <v>28</v>
      </c>
      <c r="O603" t="s">
        <v>538</v>
      </c>
      <c r="P603" t="s">
        <v>555</v>
      </c>
      <c r="Q603">
        <v>11.13317793</v>
      </c>
    </row>
    <row r="604" spans="1:17" x14ac:dyDescent="0.2">
      <c r="A604" t="s">
        <v>1075</v>
      </c>
      <c r="B604">
        <v>0.12619872300000001</v>
      </c>
      <c r="C604">
        <v>36450161.18</v>
      </c>
      <c r="D604">
        <v>72900.322369999994</v>
      </c>
      <c r="E604">
        <v>14580064.470000001</v>
      </c>
      <c r="F604" t="s">
        <v>33</v>
      </c>
      <c r="G604" t="s">
        <v>32</v>
      </c>
      <c r="H604" t="s">
        <v>16</v>
      </c>
      <c r="I604" t="s">
        <v>16</v>
      </c>
      <c r="J604" t="s">
        <v>16</v>
      </c>
      <c r="K604" t="s">
        <v>16</v>
      </c>
      <c r="L604" t="s">
        <v>464</v>
      </c>
      <c r="M604" t="str">
        <f t="shared" si="25"/>
        <v>abx_challengedindustrial</v>
      </c>
      <c r="N604" t="s">
        <v>28</v>
      </c>
      <c r="O604" t="s">
        <v>538</v>
      </c>
      <c r="P604" t="s">
        <v>555</v>
      </c>
      <c r="Q604">
        <v>72900.322369999994</v>
      </c>
    </row>
    <row r="605" spans="1:17" x14ac:dyDescent="0.2">
      <c r="A605" t="s">
        <v>557</v>
      </c>
      <c r="B605">
        <v>0.26252972699999999</v>
      </c>
      <c r="C605">
        <v>9533168.9849999994</v>
      </c>
      <c r="D605">
        <v>57199.013910000001</v>
      </c>
      <c r="E605">
        <v>11439802.779999999</v>
      </c>
      <c r="F605" t="s">
        <v>17</v>
      </c>
      <c r="G605" t="s">
        <v>32</v>
      </c>
      <c r="H605" t="s">
        <v>16</v>
      </c>
      <c r="I605" t="s">
        <v>16</v>
      </c>
      <c r="J605" t="s">
        <v>16</v>
      </c>
      <c r="K605" t="s">
        <v>16</v>
      </c>
      <c r="L605" t="s">
        <v>464</v>
      </c>
      <c r="M605" t="str">
        <f t="shared" si="25"/>
        <v>abx_challengedindustrial</v>
      </c>
      <c r="N605" t="s">
        <v>28</v>
      </c>
      <c r="O605" t="s">
        <v>538</v>
      </c>
      <c r="P605" t="s">
        <v>555</v>
      </c>
      <c r="Q605">
        <v>57199.013910000001</v>
      </c>
    </row>
    <row r="606" spans="1:17" x14ac:dyDescent="0.2">
      <c r="A606" t="s">
        <v>558</v>
      </c>
      <c r="B606" s="1">
        <v>0</v>
      </c>
      <c r="C606">
        <v>4.4067695990000004</v>
      </c>
      <c r="D606">
        <v>0</v>
      </c>
      <c r="E606">
        <v>0</v>
      </c>
      <c r="F606" t="s">
        <v>19</v>
      </c>
      <c r="G606" t="s">
        <v>36</v>
      </c>
      <c r="H606" t="s">
        <v>37</v>
      </c>
      <c r="I606">
        <v>0</v>
      </c>
      <c r="J606" t="s">
        <v>37</v>
      </c>
      <c r="K606">
        <v>2226.6355870000002</v>
      </c>
      <c r="L606" t="s">
        <v>464</v>
      </c>
      <c r="M606" t="str">
        <f t="shared" si="25"/>
        <v>controlindustrial</v>
      </c>
      <c r="N606" t="s">
        <v>28</v>
      </c>
      <c r="O606" t="s">
        <v>538</v>
      </c>
      <c r="P606" t="s">
        <v>555</v>
      </c>
      <c r="Q606" t="s">
        <v>16</v>
      </c>
    </row>
    <row r="607" spans="1:17" x14ac:dyDescent="0.2">
      <c r="A607" t="s">
        <v>1076</v>
      </c>
      <c r="B607" s="1">
        <v>0</v>
      </c>
      <c r="C607">
        <v>70851932.069999993</v>
      </c>
      <c r="D607">
        <v>4251115.9239999996</v>
      </c>
      <c r="E607">
        <v>850223184.79999995</v>
      </c>
      <c r="F607" t="s">
        <v>33</v>
      </c>
      <c r="G607" t="s">
        <v>36</v>
      </c>
      <c r="H607" t="s">
        <v>38</v>
      </c>
      <c r="I607">
        <v>384265483.60000002</v>
      </c>
      <c r="J607" t="s">
        <v>38</v>
      </c>
      <c r="K607">
        <v>14580064.470000001</v>
      </c>
      <c r="L607" t="s">
        <v>464</v>
      </c>
      <c r="M607" t="str">
        <f t="shared" si="25"/>
        <v>controlindustrial</v>
      </c>
      <c r="N607" t="s">
        <v>28</v>
      </c>
      <c r="O607" t="s">
        <v>538</v>
      </c>
      <c r="P607" t="s">
        <v>555</v>
      </c>
      <c r="Q607" t="s">
        <v>16</v>
      </c>
    </row>
    <row r="608" spans="1:17" x14ac:dyDescent="0.2">
      <c r="A608" t="s">
        <v>559</v>
      </c>
      <c r="B608" s="1">
        <v>0</v>
      </c>
      <c r="C608" t="s">
        <v>16</v>
      </c>
      <c r="D608">
        <v>0</v>
      </c>
      <c r="E608">
        <v>0</v>
      </c>
      <c r="F608" t="s">
        <v>17</v>
      </c>
      <c r="G608" t="s">
        <v>36</v>
      </c>
      <c r="H608" t="s">
        <v>38</v>
      </c>
      <c r="I608">
        <v>81885526.480000004</v>
      </c>
      <c r="J608" t="s">
        <v>38</v>
      </c>
      <c r="K608">
        <v>11439802.779999999</v>
      </c>
      <c r="L608" t="s">
        <v>464</v>
      </c>
      <c r="M608" t="str">
        <f t="shared" si="25"/>
        <v>controlindustrial</v>
      </c>
      <c r="N608" t="s">
        <v>28</v>
      </c>
      <c r="O608" t="s">
        <v>538</v>
      </c>
      <c r="P608" t="s">
        <v>555</v>
      </c>
      <c r="Q608" t="s">
        <v>16</v>
      </c>
    </row>
    <row r="609" spans="1:17" x14ac:dyDescent="0.2">
      <c r="A609" t="s">
        <v>560</v>
      </c>
      <c r="B609">
        <v>0.153904603</v>
      </c>
      <c r="C609" t="s">
        <v>16</v>
      </c>
      <c r="D609">
        <v>0</v>
      </c>
      <c r="E609">
        <v>0</v>
      </c>
      <c r="F609" t="s">
        <v>19</v>
      </c>
      <c r="G609" t="s">
        <v>41</v>
      </c>
      <c r="H609" t="s">
        <v>16</v>
      </c>
      <c r="I609" t="s">
        <v>16</v>
      </c>
      <c r="J609" t="s">
        <v>16</v>
      </c>
      <c r="K609" t="s">
        <v>16</v>
      </c>
      <c r="L609" t="s">
        <v>464</v>
      </c>
      <c r="M609" t="str">
        <f t="shared" si="25"/>
        <v>challengedindustrial</v>
      </c>
      <c r="N609" t="s">
        <v>28</v>
      </c>
      <c r="O609" t="s">
        <v>538</v>
      </c>
      <c r="P609" t="s">
        <v>555</v>
      </c>
      <c r="Q609">
        <v>0</v>
      </c>
    </row>
    <row r="610" spans="1:17" x14ac:dyDescent="0.2">
      <c r="A610" t="s">
        <v>1077</v>
      </c>
      <c r="B610">
        <v>0.25012635599999999</v>
      </c>
      <c r="C610">
        <v>32022123.629999999</v>
      </c>
      <c r="D610">
        <v>1921327.4180000001</v>
      </c>
      <c r="E610">
        <v>384265483.60000002</v>
      </c>
      <c r="F610" t="s">
        <v>33</v>
      </c>
      <c r="G610" t="s">
        <v>41</v>
      </c>
      <c r="H610" t="s">
        <v>16</v>
      </c>
      <c r="I610" t="s">
        <v>16</v>
      </c>
      <c r="J610" t="s">
        <v>16</v>
      </c>
      <c r="K610" t="s">
        <v>16</v>
      </c>
      <c r="L610" t="s">
        <v>464</v>
      </c>
      <c r="M610" t="str">
        <f t="shared" si="25"/>
        <v>challengedindustrial</v>
      </c>
      <c r="N610" t="s">
        <v>28</v>
      </c>
      <c r="O610" t="s">
        <v>538</v>
      </c>
      <c r="P610" t="s">
        <v>555</v>
      </c>
      <c r="Q610">
        <v>1511899.7860000001</v>
      </c>
    </row>
    <row r="611" spans="1:17" x14ac:dyDescent="0.2">
      <c r="A611" t="s">
        <v>561</v>
      </c>
      <c r="B611">
        <v>0.27364469499999999</v>
      </c>
      <c r="C611">
        <v>6823793.8729999997</v>
      </c>
      <c r="D611">
        <v>409427.6324</v>
      </c>
      <c r="E611">
        <v>81885526.480000004</v>
      </c>
      <c r="F611" t="s">
        <v>17</v>
      </c>
      <c r="G611" t="s">
        <v>41</v>
      </c>
      <c r="H611" t="s">
        <v>16</v>
      </c>
      <c r="I611" t="s">
        <v>16</v>
      </c>
      <c r="J611" t="s">
        <v>16</v>
      </c>
      <c r="K611" t="s">
        <v>16</v>
      </c>
      <c r="L611" t="s">
        <v>464</v>
      </c>
      <c r="M611" t="str">
        <f t="shared" si="25"/>
        <v>challengedindustrial</v>
      </c>
      <c r="N611" t="s">
        <v>28</v>
      </c>
      <c r="O611" t="s">
        <v>538</v>
      </c>
      <c r="P611" t="s">
        <v>555</v>
      </c>
      <c r="Q611">
        <v>409427.6324</v>
      </c>
    </row>
    <row r="612" spans="1:17" x14ac:dyDescent="0.2">
      <c r="A612" t="s">
        <v>562</v>
      </c>
      <c r="B612" t="s">
        <v>16</v>
      </c>
      <c r="C612" t="s">
        <v>16</v>
      </c>
      <c r="D612" t="s">
        <v>16</v>
      </c>
      <c r="E612" t="s">
        <v>16</v>
      </c>
      <c r="F612" t="s">
        <v>26</v>
      </c>
      <c r="G612" t="s">
        <v>26</v>
      </c>
      <c r="H612" t="s">
        <v>16</v>
      </c>
      <c r="I612" t="s">
        <v>16</v>
      </c>
      <c r="J612" t="s">
        <v>16</v>
      </c>
      <c r="K612" t="s">
        <v>16</v>
      </c>
      <c r="L612" t="s">
        <v>464</v>
      </c>
      <c r="M612" t="str">
        <f t="shared" si="25"/>
        <v>fecalindustrial</v>
      </c>
      <c r="N612" t="s">
        <v>28</v>
      </c>
      <c r="O612" t="s">
        <v>538</v>
      </c>
      <c r="P612" t="s">
        <v>563</v>
      </c>
      <c r="Q612" t="s">
        <v>16</v>
      </c>
    </row>
    <row r="613" spans="1:17" x14ac:dyDescent="0.2">
      <c r="A613" t="s">
        <v>564</v>
      </c>
      <c r="B613">
        <v>0.13999829899999999</v>
      </c>
      <c r="C613">
        <v>112.91042947056066</v>
      </c>
      <c r="D613">
        <v>10.454669395422284</v>
      </c>
      <c r="E613">
        <f>D613*200</f>
        <v>2090.9338790844567</v>
      </c>
      <c r="F613" t="s">
        <v>19</v>
      </c>
      <c r="G613" t="s">
        <v>32</v>
      </c>
      <c r="H613" t="s">
        <v>16</v>
      </c>
      <c r="I613" t="s">
        <v>16</v>
      </c>
      <c r="J613" t="s">
        <v>16</v>
      </c>
      <c r="K613" t="s">
        <v>16</v>
      </c>
      <c r="L613" t="s">
        <v>464</v>
      </c>
      <c r="M613" t="str">
        <f t="shared" si="25"/>
        <v>abx_challengedindustrial</v>
      </c>
      <c r="N613" t="s">
        <v>28</v>
      </c>
      <c r="O613" t="s">
        <v>538</v>
      </c>
      <c r="P613" t="s">
        <v>563</v>
      </c>
      <c r="Q613">
        <f>E613</f>
        <v>2090.9338790844567</v>
      </c>
    </row>
    <row r="614" spans="1:17" x14ac:dyDescent="0.2">
      <c r="A614" t="s">
        <v>565</v>
      </c>
      <c r="B614">
        <v>0</v>
      </c>
      <c r="C614" t="s">
        <v>16</v>
      </c>
      <c r="D614">
        <v>0</v>
      </c>
      <c r="E614">
        <f t="shared" ref="E614:E618" si="26">D614*200</f>
        <v>0</v>
      </c>
      <c r="F614" t="s">
        <v>19</v>
      </c>
      <c r="G614" t="s">
        <v>36</v>
      </c>
      <c r="H614" t="s">
        <v>37</v>
      </c>
      <c r="J614" t="s">
        <v>37</v>
      </c>
      <c r="L614" t="s">
        <v>464</v>
      </c>
      <c r="M614" t="str">
        <f t="shared" si="25"/>
        <v>controlindustrial</v>
      </c>
      <c r="N614" t="s">
        <v>28</v>
      </c>
      <c r="O614" t="s">
        <v>538</v>
      </c>
      <c r="P614" t="s">
        <v>563</v>
      </c>
      <c r="Q614" t="s">
        <v>16</v>
      </c>
    </row>
    <row r="615" spans="1:17" x14ac:dyDescent="0.2">
      <c r="A615" t="s">
        <v>566</v>
      </c>
      <c r="B615">
        <v>8.7873068999999998E-2</v>
      </c>
      <c r="C615">
        <v>66.224415867444904</v>
      </c>
      <c r="D615">
        <v>6.1318903580967508</v>
      </c>
      <c r="E615">
        <f t="shared" si="26"/>
        <v>1226.3780716193501</v>
      </c>
      <c r="F615" t="s">
        <v>19</v>
      </c>
      <c r="G615" t="s">
        <v>41</v>
      </c>
      <c r="H615" t="s">
        <v>16</v>
      </c>
      <c r="I615" t="s">
        <v>16</v>
      </c>
      <c r="J615" t="s">
        <v>16</v>
      </c>
      <c r="K615" t="s">
        <v>16</v>
      </c>
      <c r="L615" t="s">
        <v>464</v>
      </c>
      <c r="M615" t="str">
        <f t="shared" si="25"/>
        <v>challengedindustrial</v>
      </c>
      <c r="N615" t="s">
        <v>28</v>
      </c>
      <c r="O615" t="s">
        <v>538</v>
      </c>
      <c r="P615" t="s">
        <v>563</v>
      </c>
      <c r="Q615">
        <f>E615</f>
        <v>1226.3780716193501</v>
      </c>
    </row>
    <row r="616" spans="1:17" x14ac:dyDescent="0.2">
      <c r="A616" t="s">
        <v>567</v>
      </c>
      <c r="B616">
        <v>0.10422741100000001</v>
      </c>
      <c r="C616">
        <v>711.30469803323024</v>
      </c>
      <c r="D616">
        <v>65.861546114187988</v>
      </c>
      <c r="E616">
        <f t="shared" si="26"/>
        <v>13172.309222837597</v>
      </c>
      <c r="F616" t="s">
        <v>19</v>
      </c>
      <c r="G616" t="s">
        <v>32</v>
      </c>
      <c r="H616" t="s">
        <v>16</v>
      </c>
      <c r="I616" t="s">
        <v>16</v>
      </c>
      <c r="J616" t="s">
        <v>16</v>
      </c>
      <c r="K616" t="s">
        <v>16</v>
      </c>
      <c r="L616" t="s">
        <v>464</v>
      </c>
      <c r="M616" t="str">
        <f t="shared" si="25"/>
        <v>abx_challengedindustrial</v>
      </c>
      <c r="N616" t="s">
        <v>28</v>
      </c>
      <c r="O616" t="s">
        <v>538</v>
      </c>
      <c r="P616" t="s">
        <v>568</v>
      </c>
      <c r="Q616">
        <f>E616</f>
        <v>13172.309222837597</v>
      </c>
    </row>
    <row r="617" spans="1:17" x14ac:dyDescent="0.2">
      <c r="A617" t="s">
        <v>569</v>
      </c>
      <c r="B617" t="s">
        <v>16</v>
      </c>
      <c r="C617" t="s">
        <v>16</v>
      </c>
      <c r="D617">
        <v>0</v>
      </c>
      <c r="E617">
        <f t="shared" si="26"/>
        <v>0</v>
      </c>
      <c r="F617" t="s">
        <v>19</v>
      </c>
      <c r="G617" t="s">
        <v>91</v>
      </c>
      <c r="H617" t="s">
        <v>16</v>
      </c>
      <c r="I617" t="s">
        <v>16</v>
      </c>
      <c r="J617" t="s">
        <v>16</v>
      </c>
      <c r="K617" t="s">
        <v>16</v>
      </c>
      <c r="L617" t="s">
        <v>464</v>
      </c>
      <c r="M617" t="str">
        <f t="shared" si="25"/>
        <v>ABXindustrial</v>
      </c>
      <c r="N617" t="s">
        <v>28</v>
      </c>
      <c r="O617" t="s">
        <v>538</v>
      </c>
      <c r="P617" t="s">
        <v>568</v>
      </c>
      <c r="Q617">
        <f>E617</f>
        <v>0</v>
      </c>
    </row>
    <row r="618" spans="1:17" x14ac:dyDescent="0.2">
      <c r="A618" t="s">
        <v>570</v>
      </c>
      <c r="B618">
        <v>0</v>
      </c>
      <c r="C618" t="s">
        <v>16</v>
      </c>
      <c r="D618">
        <v>0</v>
      </c>
      <c r="E618">
        <f t="shared" si="26"/>
        <v>0</v>
      </c>
      <c r="F618" t="s">
        <v>19</v>
      </c>
      <c r="G618" t="s">
        <v>36</v>
      </c>
      <c r="H618" t="s">
        <v>37</v>
      </c>
      <c r="J618" t="s">
        <v>37</v>
      </c>
      <c r="L618" t="s">
        <v>464</v>
      </c>
      <c r="M618" t="str">
        <f t="shared" si="25"/>
        <v>controlindustrial</v>
      </c>
      <c r="N618" t="s">
        <v>28</v>
      </c>
      <c r="O618" t="s">
        <v>538</v>
      </c>
      <c r="P618" t="s">
        <v>568</v>
      </c>
      <c r="Q618" t="s">
        <v>16</v>
      </c>
    </row>
    <row r="619" spans="1:17" x14ac:dyDescent="0.2">
      <c r="A619" t="s">
        <v>571</v>
      </c>
      <c r="B619" t="s">
        <v>16</v>
      </c>
      <c r="C619" t="s">
        <v>16</v>
      </c>
      <c r="D619" t="s">
        <v>16</v>
      </c>
      <c r="E619" t="s">
        <v>16</v>
      </c>
      <c r="F619" t="s">
        <v>26</v>
      </c>
      <c r="G619" t="s">
        <v>26</v>
      </c>
      <c r="H619" t="s">
        <v>16</v>
      </c>
      <c r="I619" t="s">
        <v>16</v>
      </c>
      <c r="J619" t="s">
        <v>16</v>
      </c>
      <c r="K619" t="s">
        <v>16</v>
      </c>
      <c r="L619" t="s">
        <v>464</v>
      </c>
      <c r="M619" t="str">
        <f t="shared" si="25"/>
        <v>fecalindustrial</v>
      </c>
      <c r="N619" t="s">
        <v>28</v>
      </c>
      <c r="O619" t="s">
        <v>538</v>
      </c>
      <c r="P619" t="s">
        <v>572</v>
      </c>
      <c r="Q619" t="s">
        <v>16</v>
      </c>
    </row>
    <row r="620" spans="1:17" x14ac:dyDescent="0.2">
      <c r="A620" t="s">
        <v>573</v>
      </c>
      <c r="B620">
        <v>0.17466140499999999</v>
      </c>
      <c r="C620">
        <v>208.1330997</v>
      </c>
      <c r="D620">
        <v>19.27158331</v>
      </c>
      <c r="E620">
        <v>3854.3166609999998</v>
      </c>
      <c r="F620" t="s">
        <v>19</v>
      </c>
      <c r="G620" t="s">
        <v>32</v>
      </c>
      <c r="H620" t="s">
        <v>16</v>
      </c>
      <c r="I620" t="s">
        <v>16</v>
      </c>
      <c r="J620" t="s">
        <v>16</v>
      </c>
      <c r="K620" t="s">
        <v>16</v>
      </c>
      <c r="L620" t="s">
        <v>464</v>
      </c>
      <c r="M620" t="str">
        <f t="shared" si="25"/>
        <v>abx_challengedindustrial</v>
      </c>
      <c r="N620" t="s">
        <v>28</v>
      </c>
      <c r="O620" t="s">
        <v>538</v>
      </c>
      <c r="P620" t="s">
        <v>572</v>
      </c>
      <c r="Q620">
        <v>19.27158331</v>
      </c>
    </row>
    <row r="621" spans="1:17" x14ac:dyDescent="0.2">
      <c r="A621" t="s">
        <v>1078</v>
      </c>
      <c r="B621">
        <v>0.153228483</v>
      </c>
      <c r="C621">
        <v>19786423.879999999</v>
      </c>
      <c r="D621">
        <v>39572.847750000001</v>
      </c>
      <c r="E621">
        <v>7914569.551</v>
      </c>
      <c r="F621" t="s">
        <v>33</v>
      </c>
      <c r="G621" t="s">
        <v>32</v>
      </c>
      <c r="H621" t="s">
        <v>16</v>
      </c>
      <c r="I621" t="s">
        <v>16</v>
      </c>
      <c r="J621" t="s">
        <v>16</v>
      </c>
      <c r="K621" t="s">
        <v>16</v>
      </c>
      <c r="L621" t="s">
        <v>464</v>
      </c>
      <c r="M621" t="str">
        <f t="shared" si="25"/>
        <v>abx_challengedindustrial</v>
      </c>
      <c r="N621" t="s">
        <v>28</v>
      </c>
      <c r="O621" t="s">
        <v>538</v>
      </c>
      <c r="P621" t="s">
        <v>572</v>
      </c>
      <c r="Q621">
        <v>39572.847750000001</v>
      </c>
    </row>
    <row r="622" spans="1:17" x14ac:dyDescent="0.2">
      <c r="A622" t="s">
        <v>574</v>
      </c>
      <c r="B622">
        <v>0.242332665</v>
      </c>
      <c r="C622">
        <v>5533254.1919999998</v>
      </c>
      <c r="D622">
        <v>33199.525150000001</v>
      </c>
      <c r="E622">
        <v>6639905.0300000003</v>
      </c>
      <c r="F622" t="s">
        <v>17</v>
      </c>
      <c r="G622" t="s">
        <v>32</v>
      </c>
      <c r="H622" t="s">
        <v>16</v>
      </c>
      <c r="I622" t="s">
        <v>16</v>
      </c>
      <c r="J622" t="s">
        <v>16</v>
      </c>
      <c r="K622" t="s">
        <v>16</v>
      </c>
      <c r="L622" t="s">
        <v>464</v>
      </c>
      <c r="M622" t="str">
        <f t="shared" si="25"/>
        <v>abx_challengedindustrial</v>
      </c>
      <c r="N622" t="s">
        <v>28</v>
      </c>
      <c r="O622" t="s">
        <v>538</v>
      </c>
      <c r="P622" t="s">
        <v>572</v>
      </c>
      <c r="Q622">
        <v>33199.525150000001</v>
      </c>
    </row>
    <row r="623" spans="1:17" x14ac:dyDescent="0.2">
      <c r="A623" t="s">
        <v>575</v>
      </c>
      <c r="B623" s="1">
        <v>0</v>
      </c>
      <c r="C623">
        <v>3.8365091699999998</v>
      </c>
      <c r="D623">
        <v>0</v>
      </c>
      <c r="E623">
        <v>0</v>
      </c>
      <c r="F623" t="s">
        <v>19</v>
      </c>
      <c r="G623" t="s">
        <v>36</v>
      </c>
      <c r="H623" t="s">
        <v>37</v>
      </c>
      <c r="I623">
        <v>0</v>
      </c>
      <c r="J623" t="s">
        <v>37</v>
      </c>
      <c r="K623">
        <v>3854.3166609999998</v>
      </c>
      <c r="L623" t="s">
        <v>464</v>
      </c>
      <c r="M623" t="str">
        <f t="shared" si="25"/>
        <v>controlindustrial</v>
      </c>
      <c r="N623" t="s">
        <v>28</v>
      </c>
      <c r="O623" t="s">
        <v>538</v>
      </c>
      <c r="P623" t="s">
        <v>572</v>
      </c>
      <c r="Q623" t="s">
        <v>16</v>
      </c>
    </row>
    <row r="624" spans="1:17" x14ac:dyDescent="0.2">
      <c r="A624" t="s">
        <v>1079</v>
      </c>
      <c r="B624" s="1">
        <v>0</v>
      </c>
      <c r="C624">
        <v>50873122.990000002</v>
      </c>
      <c r="D624">
        <v>3052387.3790000002</v>
      </c>
      <c r="E624">
        <v>610477475.79999995</v>
      </c>
      <c r="F624" t="s">
        <v>33</v>
      </c>
      <c r="G624" t="s">
        <v>36</v>
      </c>
      <c r="H624" t="s">
        <v>38</v>
      </c>
      <c r="I624">
        <v>10506928.060000001</v>
      </c>
      <c r="J624" t="s">
        <v>38</v>
      </c>
      <c r="K624">
        <v>7914569.551</v>
      </c>
      <c r="L624" t="s">
        <v>464</v>
      </c>
      <c r="M624" t="str">
        <f t="shared" si="25"/>
        <v>controlindustrial</v>
      </c>
      <c r="N624" t="s">
        <v>28</v>
      </c>
      <c r="O624" t="s">
        <v>538</v>
      </c>
      <c r="P624" t="s">
        <v>572</v>
      </c>
      <c r="Q624" t="s">
        <v>16</v>
      </c>
    </row>
    <row r="625" spans="1:17" x14ac:dyDescent="0.2">
      <c r="A625" t="s">
        <v>576</v>
      </c>
      <c r="B625" s="1">
        <v>0</v>
      </c>
      <c r="C625" t="s">
        <v>16</v>
      </c>
      <c r="D625">
        <v>0</v>
      </c>
      <c r="E625">
        <v>0</v>
      </c>
      <c r="F625" t="s">
        <v>17</v>
      </c>
      <c r="G625" t="s">
        <v>36</v>
      </c>
      <c r="H625" t="s">
        <v>38</v>
      </c>
      <c r="I625">
        <v>96480631.969999999</v>
      </c>
      <c r="J625" t="s">
        <v>38</v>
      </c>
      <c r="K625">
        <v>6639905.0300000003</v>
      </c>
      <c r="L625" t="s">
        <v>464</v>
      </c>
      <c r="M625" t="str">
        <f t="shared" si="25"/>
        <v>controlindustrial</v>
      </c>
      <c r="N625" t="s">
        <v>28</v>
      </c>
      <c r="O625" t="s">
        <v>538</v>
      </c>
      <c r="P625" t="s">
        <v>572</v>
      </c>
      <c r="Q625" t="s">
        <v>16</v>
      </c>
    </row>
    <row r="626" spans="1:17" x14ac:dyDescent="0.2">
      <c r="A626" t="s">
        <v>577</v>
      </c>
      <c r="B626">
        <v>0.17627728200000001</v>
      </c>
      <c r="C626">
        <v>1.9495804219999999</v>
      </c>
      <c r="D626">
        <v>0</v>
      </c>
      <c r="E626">
        <v>0</v>
      </c>
      <c r="F626" t="s">
        <v>19</v>
      </c>
      <c r="G626" t="s">
        <v>41</v>
      </c>
      <c r="H626" t="s">
        <v>16</v>
      </c>
      <c r="I626" t="s">
        <v>16</v>
      </c>
      <c r="J626" t="s">
        <v>16</v>
      </c>
      <c r="K626" t="s">
        <v>16</v>
      </c>
      <c r="L626" t="s">
        <v>464</v>
      </c>
      <c r="M626" t="str">
        <f t="shared" si="25"/>
        <v>challengedindustrial</v>
      </c>
      <c r="N626" t="s">
        <v>28</v>
      </c>
      <c r="O626" t="s">
        <v>538</v>
      </c>
      <c r="P626" t="s">
        <v>572</v>
      </c>
      <c r="Q626">
        <v>0</v>
      </c>
    </row>
    <row r="627" spans="1:17" x14ac:dyDescent="0.2">
      <c r="A627" t="s">
        <v>1080</v>
      </c>
      <c r="B627">
        <v>0.286419219</v>
      </c>
      <c r="C627">
        <v>875577.33860000002</v>
      </c>
      <c r="D627">
        <v>52534.640319999999</v>
      </c>
      <c r="E627">
        <v>10506928.060000001</v>
      </c>
      <c r="F627" t="s">
        <v>33</v>
      </c>
      <c r="G627" t="s">
        <v>41</v>
      </c>
      <c r="H627" t="s">
        <v>16</v>
      </c>
      <c r="I627" t="s">
        <v>16</v>
      </c>
      <c r="J627" t="s">
        <v>16</v>
      </c>
      <c r="K627" t="s">
        <v>16</v>
      </c>
      <c r="L627" t="s">
        <v>464</v>
      </c>
      <c r="M627" t="str">
        <f t="shared" si="25"/>
        <v>challengedindustrial</v>
      </c>
      <c r="N627" t="s">
        <v>28</v>
      </c>
      <c r="O627" t="s">
        <v>538</v>
      </c>
      <c r="P627" t="s">
        <v>572</v>
      </c>
      <c r="Q627">
        <v>-429868.51949999999</v>
      </c>
    </row>
    <row r="628" spans="1:17" x14ac:dyDescent="0.2">
      <c r="A628" t="s">
        <v>578</v>
      </c>
      <c r="B628">
        <v>0.25559387700000002</v>
      </c>
      <c r="C628">
        <v>8040052.6639999999</v>
      </c>
      <c r="D628">
        <v>482403.15990000003</v>
      </c>
      <c r="E628">
        <v>96480631.969999999</v>
      </c>
      <c r="F628" t="s">
        <v>17</v>
      </c>
      <c r="G628" t="s">
        <v>41</v>
      </c>
      <c r="H628" t="s">
        <v>16</v>
      </c>
      <c r="I628" t="s">
        <v>16</v>
      </c>
      <c r="J628" t="s">
        <v>16</v>
      </c>
      <c r="K628" t="s">
        <v>16</v>
      </c>
      <c r="L628" t="s">
        <v>464</v>
      </c>
      <c r="M628" t="str">
        <f t="shared" si="25"/>
        <v>challengedindustrial</v>
      </c>
      <c r="N628" t="s">
        <v>28</v>
      </c>
      <c r="O628" t="s">
        <v>538</v>
      </c>
      <c r="P628" t="s">
        <v>572</v>
      </c>
      <c r="Q628">
        <v>482403.15990000003</v>
      </c>
    </row>
    <row r="629" spans="1:17" x14ac:dyDescent="0.2">
      <c r="A629" t="s">
        <v>579</v>
      </c>
      <c r="B629" t="s">
        <v>16</v>
      </c>
      <c r="C629" t="s">
        <v>16</v>
      </c>
      <c r="D629" t="s">
        <v>16</v>
      </c>
      <c r="E629" t="s">
        <v>16</v>
      </c>
      <c r="F629" t="s">
        <v>26</v>
      </c>
      <c r="G629" t="s">
        <v>26</v>
      </c>
      <c r="H629" t="s">
        <v>16</v>
      </c>
      <c r="I629" t="s">
        <v>16</v>
      </c>
      <c r="J629" t="s">
        <v>16</v>
      </c>
      <c r="K629" t="s">
        <v>16</v>
      </c>
      <c r="L629" t="s">
        <v>464</v>
      </c>
      <c r="M629" t="str">
        <f t="shared" si="25"/>
        <v>fecalindustrial</v>
      </c>
      <c r="N629" t="s">
        <v>28</v>
      </c>
      <c r="O629" t="s">
        <v>538</v>
      </c>
      <c r="P629" t="s">
        <v>580</v>
      </c>
      <c r="Q629" t="s">
        <v>16</v>
      </c>
    </row>
    <row r="630" spans="1:17" x14ac:dyDescent="0.2">
      <c r="A630" t="s">
        <v>581</v>
      </c>
      <c r="B630">
        <v>0.15930765399999999</v>
      </c>
      <c r="C630">
        <v>141.4040876</v>
      </c>
      <c r="D630">
        <v>13.09297108</v>
      </c>
      <c r="E630">
        <v>2618.5942150000001</v>
      </c>
      <c r="F630" t="s">
        <v>19</v>
      </c>
      <c r="G630" t="s">
        <v>32</v>
      </c>
      <c r="H630" t="s">
        <v>16</v>
      </c>
      <c r="I630" t="s">
        <v>16</v>
      </c>
      <c r="J630" t="s">
        <v>16</v>
      </c>
      <c r="K630" t="s">
        <v>16</v>
      </c>
      <c r="L630" t="s">
        <v>464</v>
      </c>
      <c r="M630" t="str">
        <f t="shared" si="25"/>
        <v>abx_challengedindustrial</v>
      </c>
      <c r="N630" t="s">
        <v>28</v>
      </c>
      <c r="O630" t="s">
        <v>538</v>
      </c>
      <c r="P630" t="s">
        <v>580</v>
      </c>
      <c r="Q630">
        <v>13.09297108</v>
      </c>
    </row>
    <row r="631" spans="1:17" x14ac:dyDescent="0.2">
      <c r="A631" t="s">
        <v>1081</v>
      </c>
      <c r="B631">
        <v>0.206928787</v>
      </c>
      <c r="C631">
        <v>29268819.07</v>
      </c>
      <c r="D631">
        <v>58537.638140000003</v>
      </c>
      <c r="E631">
        <v>11707527.630000001</v>
      </c>
      <c r="F631" t="s">
        <v>33</v>
      </c>
      <c r="G631" t="s">
        <v>32</v>
      </c>
      <c r="H631" t="s">
        <v>16</v>
      </c>
      <c r="I631" t="s">
        <v>16</v>
      </c>
      <c r="J631" t="s">
        <v>16</v>
      </c>
      <c r="K631" t="s">
        <v>16</v>
      </c>
      <c r="L631" t="s">
        <v>464</v>
      </c>
      <c r="M631" t="str">
        <f t="shared" si="25"/>
        <v>abx_challengedindustrial</v>
      </c>
      <c r="N631" t="s">
        <v>28</v>
      </c>
      <c r="O631" t="s">
        <v>538</v>
      </c>
      <c r="P631" t="s">
        <v>580</v>
      </c>
      <c r="Q631">
        <v>58537.638140000003</v>
      </c>
    </row>
    <row r="632" spans="1:17" x14ac:dyDescent="0.2">
      <c r="A632" t="s">
        <v>582</v>
      </c>
      <c r="B632">
        <v>0.27381608600000001</v>
      </c>
      <c r="C632">
        <v>6117475.4309999999</v>
      </c>
      <c r="D632">
        <v>36704.852590000002</v>
      </c>
      <c r="E632">
        <v>7340970.5180000002</v>
      </c>
      <c r="F632" t="s">
        <v>17</v>
      </c>
      <c r="G632" t="s">
        <v>32</v>
      </c>
      <c r="H632" t="s">
        <v>16</v>
      </c>
      <c r="I632" t="s">
        <v>16</v>
      </c>
      <c r="J632" t="s">
        <v>16</v>
      </c>
      <c r="K632" t="s">
        <v>16</v>
      </c>
      <c r="L632" t="s">
        <v>464</v>
      </c>
      <c r="M632" t="str">
        <f t="shared" si="25"/>
        <v>abx_challengedindustrial</v>
      </c>
      <c r="N632" t="s">
        <v>28</v>
      </c>
      <c r="O632" t="s">
        <v>538</v>
      </c>
      <c r="P632" t="s">
        <v>580</v>
      </c>
      <c r="Q632">
        <v>36704.852590000002</v>
      </c>
    </row>
    <row r="633" spans="1:17" x14ac:dyDescent="0.2">
      <c r="A633" t="s">
        <v>583</v>
      </c>
      <c r="B633" s="1">
        <v>0</v>
      </c>
      <c r="C633" t="s">
        <v>16</v>
      </c>
      <c r="D633">
        <v>0</v>
      </c>
      <c r="E633">
        <v>0</v>
      </c>
      <c r="F633" t="s">
        <v>19</v>
      </c>
      <c r="G633" t="s">
        <v>36</v>
      </c>
      <c r="H633" t="s">
        <v>37</v>
      </c>
      <c r="I633">
        <v>0</v>
      </c>
      <c r="J633" t="s">
        <v>37</v>
      </c>
      <c r="K633">
        <v>2618.5942150000001</v>
      </c>
      <c r="L633" t="s">
        <v>464</v>
      </c>
      <c r="M633" t="str">
        <f t="shared" si="25"/>
        <v>controlindustrial</v>
      </c>
      <c r="N633" t="s">
        <v>28</v>
      </c>
      <c r="O633" t="s">
        <v>538</v>
      </c>
      <c r="P633" t="s">
        <v>580</v>
      </c>
      <c r="Q633" t="s">
        <v>16</v>
      </c>
    </row>
    <row r="634" spans="1:17" x14ac:dyDescent="0.2">
      <c r="A634" t="s">
        <v>1082</v>
      </c>
      <c r="B634" s="1">
        <v>0</v>
      </c>
      <c r="C634">
        <v>2298366306</v>
      </c>
      <c r="D634">
        <v>137901978.30000001</v>
      </c>
      <c r="E634">
        <v>27580395670</v>
      </c>
      <c r="F634" t="s">
        <v>33</v>
      </c>
      <c r="G634" t="s">
        <v>36</v>
      </c>
      <c r="H634" t="s">
        <v>37</v>
      </c>
      <c r="I634">
        <v>645081.59600000002</v>
      </c>
      <c r="J634" t="s">
        <v>38</v>
      </c>
      <c r="K634">
        <v>11707527.630000001</v>
      </c>
      <c r="L634" t="s">
        <v>464</v>
      </c>
      <c r="M634" t="str">
        <f t="shared" si="25"/>
        <v>controlindustrial</v>
      </c>
      <c r="N634" t="s">
        <v>28</v>
      </c>
      <c r="O634" t="s">
        <v>538</v>
      </c>
      <c r="P634" t="s">
        <v>580</v>
      </c>
      <c r="Q634" t="s">
        <v>16</v>
      </c>
    </row>
    <row r="635" spans="1:17" x14ac:dyDescent="0.2">
      <c r="A635" t="s">
        <v>584</v>
      </c>
      <c r="B635" s="1">
        <v>0</v>
      </c>
      <c r="C635" t="s">
        <v>16</v>
      </c>
      <c r="D635">
        <v>0</v>
      </c>
      <c r="E635">
        <v>0</v>
      </c>
      <c r="F635" t="s">
        <v>17</v>
      </c>
      <c r="G635" t="s">
        <v>36</v>
      </c>
      <c r="H635" t="s">
        <v>38</v>
      </c>
      <c r="I635">
        <v>61571966.630000003</v>
      </c>
      <c r="J635" t="s">
        <v>38</v>
      </c>
      <c r="K635">
        <v>7340970.5180000002</v>
      </c>
      <c r="L635" t="s">
        <v>464</v>
      </c>
      <c r="M635" t="str">
        <f t="shared" si="25"/>
        <v>controlindustrial</v>
      </c>
      <c r="N635" t="s">
        <v>28</v>
      </c>
      <c r="O635" t="s">
        <v>538</v>
      </c>
      <c r="P635" t="s">
        <v>580</v>
      </c>
      <c r="Q635" t="s">
        <v>16</v>
      </c>
    </row>
    <row r="636" spans="1:17" x14ac:dyDescent="0.2">
      <c r="A636" t="s">
        <v>585</v>
      </c>
      <c r="B636">
        <v>4.1160595000000001E-2</v>
      </c>
      <c r="C636">
        <v>5.0584718459999998</v>
      </c>
      <c r="D636">
        <v>0</v>
      </c>
      <c r="E636">
        <v>0</v>
      </c>
      <c r="F636" t="s">
        <v>19</v>
      </c>
      <c r="G636" t="s">
        <v>41</v>
      </c>
      <c r="H636" t="s">
        <v>16</v>
      </c>
      <c r="I636" t="s">
        <v>16</v>
      </c>
      <c r="J636" t="s">
        <v>16</v>
      </c>
      <c r="K636" t="s">
        <v>16</v>
      </c>
      <c r="L636" t="s">
        <v>464</v>
      </c>
      <c r="M636" t="str">
        <f t="shared" si="25"/>
        <v>challengedindustrial</v>
      </c>
      <c r="N636" t="s">
        <v>28</v>
      </c>
      <c r="O636" t="s">
        <v>538</v>
      </c>
      <c r="P636" t="s">
        <v>580</v>
      </c>
      <c r="Q636">
        <v>0</v>
      </c>
    </row>
    <row r="637" spans="1:17" x14ac:dyDescent="0.2">
      <c r="A637" t="s">
        <v>1083</v>
      </c>
      <c r="B637">
        <v>6.9807146E-2</v>
      </c>
      <c r="C637">
        <v>53756.799659999997</v>
      </c>
      <c r="D637">
        <v>3225.40798</v>
      </c>
      <c r="E637">
        <v>645081.59600000002</v>
      </c>
      <c r="F637" t="s">
        <v>33</v>
      </c>
      <c r="G637" t="s">
        <v>41</v>
      </c>
      <c r="H637" t="s">
        <v>16</v>
      </c>
      <c r="I637" t="s">
        <v>16</v>
      </c>
      <c r="J637" t="s">
        <v>16</v>
      </c>
      <c r="K637" t="s">
        <v>16</v>
      </c>
      <c r="L637" t="s">
        <v>464</v>
      </c>
      <c r="M637" t="str">
        <f t="shared" si="25"/>
        <v>challengedindustrial</v>
      </c>
      <c r="N637" t="s">
        <v>28</v>
      </c>
      <c r="O637" t="s">
        <v>538</v>
      </c>
      <c r="P637" t="s">
        <v>580</v>
      </c>
      <c r="Q637">
        <v>-304634.4252</v>
      </c>
    </row>
    <row r="638" spans="1:17" x14ac:dyDescent="0.2">
      <c r="A638" t="s">
        <v>586</v>
      </c>
      <c r="B638">
        <v>0.133955199</v>
      </c>
      <c r="C638">
        <v>5130997.2189999996</v>
      </c>
      <c r="D638">
        <v>307859.83319999999</v>
      </c>
      <c r="E638">
        <v>61571966.630000003</v>
      </c>
      <c r="F638" t="s">
        <v>17</v>
      </c>
      <c r="G638" t="s">
        <v>41</v>
      </c>
      <c r="H638" t="s">
        <v>16</v>
      </c>
      <c r="I638" t="s">
        <v>16</v>
      </c>
      <c r="J638" t="s">
        <v>16</v>
      </c>
      <c r="K638" t="s">
        <v>16</v>
      </c>
      <c r="L638" t="s">
        <v>464</v>
      </c>
      <c r="M638" t="str">
        <f t="shared" si="25"/>
        <v>challengedindustrial</v>
      </c>
      <c r="N638" t="s">
        <v>28</v>
      </c>
      <c r="O638" t="s">
        <v>538</v>
      </c>
      <c r="P638" t="s">
        <v>580</v>
      </c>
      <c r="Q638">
        <v>307859.83319999999</v>
      </c>
    </row>
    <row r="639" spans="1:17" x14ac:dyDescent="0.2">
      <c r="A639" t="s">
        <v>587</v>
      </c>
      <c r="B639" t="s">
        <v>16</v>
      </c>
      <c r="C639" t="s">
        <v>16</v>
      </c>
      <c r="D639" t="s">
        <v>16</v>
      </c>
      <c r="E639" t="s">
        <v>16</v>
      </c>
      <c r="F639" t="s">
        <v>26</v>
      </c>
      <c r="G639" t="s">
        <v>26</v>
      </c>
      <c r="H639" t="s">
        <v>16</v>
      </c>
      <c r="I639" t="s">
        <v>16</v>
      </c>
      <c r="J639" t="s">
        <v>16</v>
      </c>
      <c r="K639" t="s">
        <v>16</v>
      </c>
      <c r="L639" t="s">
        <v>464</v>
      </c>
      <c r="M639" t="str">
        <f t="shared" si="25"/>
        <v>fecalindustrial</v>
      </c>
      <c r="N639" t="s">
        <v>28</v>
      </c>
      <c r="O639" t="s">
        <v>538</v>
      </c>
      <c r="P639" t="s">
        <v>588</v>
      </c>
      <c r="Q639" t="s">
        <v>16</v>
      </c>
    </row>
    <row r="640" spans="1:17" x14ac:dyDescent="0.2">
      <c r="A640" t="s">
        <v>589</v>
      </c>
      <c r="B640">
        <v>0.116343921</v>
      </c>
      <c r="C640">
        <v>1.6437299661865901</v>
      </c>
      <c r="D640">
        <v>0.15219721909135095</v>
      </c>
      <c r="E640">
        <f>D640*200</f>
        <v>30.439443818270188</v>
      </c>
      <c r="F640" t="s">
        <v>19</v>
      </c>
      <c r="G640" t="s">
        <v>32</v>
      </c>
      <c r="H640" t="s">
        <v>16</v>
      </c>
      <c r="I640" t="s">
        <v>16</v>
      </c>
      <c r="J640" t="s">
        <v>16</v>
      </c>
      <c r="K640" t="s">
        <v>16</v>
      </c>
      <c r="L640" t="s">
        <v>464</v>
      </c>
      <c r="M640" t="str">
        <f t="shared" si="25"/>
        <v>abx_challengedindustrial</v>
      </c>
      <c r="N640" t="s">
        <v>28</v>
      </c>
      <c r="O640" t="s">
        <v>538</v>
      </c>
      <c r="P640" t="s">
        <v>588</v>
      </c>
      <c r="Q640">
        <v>30.439443820000001</v>
      </c>
    </row>
    <row r="641" spans="1:17" x14ac:dyDescent="0.2">
      <c r="A641" t="s">
        <v>590</v>
      </c>
      <c r="B641">
        <v>0</v>
      </c>
      <c r="C641" t="s">
        <v>16</v>
      </c>
      <c r="D641">
        <v>0</v>
      </c>
      <c r="E641">
        <f t="shared" ref="E641:E642" si="27">D641*200</f>
        <v>0</v>
      </c>
      <c r="F641" t="s">
        <v>19</v>
      </c>
      <c r="G641" t="s">
        <v>36</v>
      </c>
      <c r="H641" t="s">
        <v>37</v>
      </c>
      <c r="I641">
        <v>0</v>
      </c>
      <c r="J641" t="s">
        <v>37</v>
      </c>
      <c r="K641">
        <v>30.439443820000001</v>
      </c>
      <c r="L641" t="s">
        <v>464</v>
      </c>
      <c r="M641" t="str">
        <f t="shared" si="25"/>
        <v>controlindustrial</v>
      </c>
      <c r="N641" t="s">
        <v>28</v>
      </c>
      <c r="O641" t="s">
        <v>538</v>
      </c>
      <c r="P641" t="s">
        <v>588</v>
      </c>
      <c r="Q641" t="s">
        <v>16</v>
      </c>
    </row>
    <row r="642" spans="1:17" x14ac:dyDescent="0.2">
      <c r="A642" t="s">
        <v>591</v>
      </c>
      <c r="B642">
        <v>4.8719506000000003E-2</v>
      </c>
      <c r="C642" t="s">
        <v>16</v>
      </c>
      <c r="D642">
        <v>0</v>
      </c>
      <c r="E642">
        <f t="shared" si="27"/>
        <v>0</v>
      </c>
      <c r="F642" t="s">
        <v>19</v>
      </c>
      <c r="G642" t="s">
        <v>41</v>
      </c>
      <c r="H642" t="s">
        <v>16</v>
      </c>
      <c r="I642" t="s">
        <v>16</v>
      </c>
      <c r="J642" t="s">
        <v>16</v>
      </c>
      <c r="K642" t="s">
        <v>16</v>
      </c>
      <c r="L642" t="s">
        <v>464</v>
      </c>
      <c r="M642" t="str">
        <f t="shared" si="25"/>
        <v>challengedindustrial</v>
      </c>
      <c r="N642" t="s">
        <v>28</v>
      </c>
      <c r="O642" t="s">
        <v>538</v>
      </c>
      <c r="P642" t="s">
        <v>588</v>
      </c>
      <c r="Q642">
        <v>0</v>
      </c>
    </row>
    <row r="643" spans="1:17" x14ac:dyDescent="0.2">
      <c r="A643" t="s">
        <v>592</v>
      </c>
      <c r="B643" t="s">
        <v>16</v>
      </c>
      <c r="C643" t="s">
        <v>16</v>
      </c>
      <c r="D643" t="s">
        <v>16</v>
      </c>
      <c r="E643" t="s">
        <v>16</v>
      </c>
      <c r="F643" t="s">
        <v>26</v>
      </c>
      <c r="G643" t="s">
        <v>26</v>
      </c>
      <c r="H643" t="s">
        <v>16</v>
      </c>
      <c r="I643" t="s">
        <v>16</v>
      </c>
      <c r="J643" t="s">
        <v>16</v>
      </c>
      <c r="K643" t="s">
        <v>16</v>
      </c>
      <c r="L643" t="s">
        <v>464</v>
      </c>
      <c r="M643" t="str">
        <f t="shared" si="25"/>
        <v>fecalindustrial</v>
      </c>
      <c r="N643" t="s">
        <v>28</v>
      </c>
      <c r="O643" t="s">
        <v>538</v>
      </c>
      <c r="P643" t="s">
        <v>593</v>
      </c>
      <c r="Q643" t="s">
        <v>16</v>
      </c>
    </row>
    <row r="644" spans="1:17" x14ac:dyDescent="0.2">
      <c r="A644" t="s">
        <v>594</v>
      </c>
      <c r="B644">
        <v>0.110551654</v>
      </c>
      <c r="C644">
        <v>16.72415844</v>
      </c>
      <c r="D644">
        <v>0</v>
      </c>
      <c r="E644">
        <v>0</v>
      </c>
      <c r="F644" t="s">
        <v>19</v>
      </c>
      <c r="G644" t="s">
        <v>32</v>
      </c>
      <c r="H644" t="s">
        <v>16</v>
      </c>
      <c r="I644" t="s">
        <v>16</v>
      </c>
      <c r="J644" t="s">
        <v>16</v>
      </c>
      <c r="K644" t="s">
        <v>16</v>
      </c>
      <c r="L644" t="s">
        <v>464</v>
      </c>
      <c r="M644" t="str">
        <f t="shared" si="25"/>
        <v>abx_challengedindustrial</v>
      </c>
      <c r="N644" t="s">
        <v>28</v>
      </c>
      <c r="O644" t="s">
        <v>538</v>
      </c>
      <c r="P644" t="s">
        <v>593</v>
      </c>
      <c r="Q644">
        <v>0</v>
      </c>
    </row>
    <row r="645" spans="1:17" x14ac:dyDescent="0.2">
      <c r="A645" t="s">
        <v>1084</v>
      </c>
      <c r="B645">
        <v>0.16291931800000001</v>
      </c>
      <c r="C645">
        <v>15108069.779999999</v>
      </c>
      <c r="D645">
        <v>30216.13955</v>
      </c>
      <c r="E645">
        <v>6043227.9100000001</v>
      </c>
      <c r="F645" t="s">
        <v>33</v>
      </c>
      <c r="G645" t="s">
        <v>32</v>
      </c>
      <c r="H645" t="s">
        <v>16</v>
      </c>
      <c r="I645" t="s">
        <v>16</v>
      </c>
      <c r="J645" t="s">
        <v>16</v>
      </c>
      <c r="K645" t="s">
        <v>16</v>
      </c>
      <c r="L645" t="s">
        <v>464</v>
      </c>
      <c r="M645" t="str">
        <f t="shared" si="25"/>
        <v>abx_challengedindustrial</v>
      </c>
      <c r="N645" t="s">
        <v>28</v>
      </c>
      <c r="O645" t="s">
        <v>538</v>
      </c>
      <c r="P645" t="s">
        <v>593</v>
      </c>
      <c r="Q645">
        <v>-24762.847819999999</v>
      </c>
    </row>
    <row r="646" spans="1:17" x14ac:dyDescent="0.2">
      <c r="A646" t="s">
        <v>595</v>
      </c>
      <c r="B646">
        <v>0.212558319</v>
      </c>
      <c r="C646">
        <v>9163164.5620000008</v>
      </c>
      <c r="D646">
        <v>54978.987370000003</v>
      </c>
      <c r="E646">
        <v>10995797.470000001</v>
      </c>
      <c r="F646" t="s">
        <v>17</v>
      </c>
      <c r="G646" t="s">
        <v>32</v>
      </c>
      <c r="H646" t="s">
        <v>16</v>
      </c>
      <c r="I646" t="s">
        <v>16</v>
      </c>
      <c r="J646" t="s">
        <v>16</v>
      </c>
      <c r="K646" t="s">
        <v>16</v>
      </c>
      <c r="L646" t="s">
        <v>464</v>
      </c>
      <c r="M646" t="str">
        <f t="shared" si="25"/>
        <v>abx_challengedindustrial</v>
      </c>
      <c r="N646" t="s">
        <v>28</v>
      </c>
      <c r="O646" t="s">
        <v>538</v>
      </c>
      <c r="P646" t="s">
        <v>593</v>
      </c>
      <c r="Q646">
        <v>54978.987370000003</v>
      </c>
    </row>
    <row r="647" spans="1:17" x14ac:dyDescent="0.2">
      <c r="A647" t="s">
        <v>596</v>
      </c>
      <c r="B647" s="1">
        <v>0</v>
      </c>
      <c r="C647">
        <v>7.7019112310000004</v>
      </c>
      <c r="D647">
        <v>0</v>
      </c>
      <c r="E647">
        <v>0</v>
      </c>
      <c r="F647" t="s">
        <v>19</v>
      </c>
      <c r="G647" t="s">
        <v>36</v>
      </c>
      <c r="H647" t="s">
        <v>37</v>
      </c>
      <c r="I647">
        <v>0</v>
      </c>
      <c r="J647" t="s">
        <v>37</v>
      </c>
      <c r="K647">
        <v>0</v>
      </c>
      <c r="L647" t="s">
        <v>464</v>
      </c>
      <c r="M647" t="str">
        <f t="shared" si="25"/>
        <v>controlindustrial</v>
      </c>
      <c r="N647" t="s">
        <v>28</v>
      </c>
      <c r="O647" t="s">
        <v>538</v>
      </c>
      <c r="P647" t="s">
        <v>593</v>
      </c>
      <c r="Q647" t="s">
        <v>16</v>
      </c>
    </row>
    <row r="648" spans="1:17" x14ac:dyDescent="0.2">
      <c r="A648" t="s">
        <v>1085</v>
      </c>
      <c r="B648" s="1">
        <v>0</v>
      </c>
      <c r="C648">
        <v>1027821513</v>
      </c>
      <c r="D648">
        <v>61669290.770000003</v>
      </c>
      <c r="E648">
        <v>12333858155</v>
      </c>
      <c r="F648" t="s">
        <v>33</v>
      </c>
      <c r="G648" t="s">
        <v>36</v>
      </c>
      <c r="H648" t="s">
        <v>37</v>
      </c>
      <c r="I648">
        <v>207915.7151</v>
      </c>
      <c r="J648" t="s">
        <v>38</v>
      </c>
      <c r="K648">
        <v>6043227.9100000001</v>
      </c>
      <c r="L648" t="s">
        <v>464</v>
      </c>
      <c r="M648" t="str">
        <f t="shared" si="25"/>
        <v>controlindustrial</v>
      </c>
      <c r="N648" t="s">
        <v>28</v>
      </c>
      <c r="O648" t="s">
        <v>538</v>
      </c>
      <c r="P648" t="s">
        <v>593</v>
      </c>
      <c r="Q648" t="s">
        <v>16</v>
      </c>
    </row>
    <row r="649" spans="1:17" x14ac:dyDescent="0.2">
      <c r="A649" t="s">
        <v>597</v>
      </c>
      <c r="B649" s="1">
        <v>0</v>
      </c>
      <c r="C649" t="s">
        <v>16</v>
      </c>
      <c r="D649">
        <v>0</v>
      </c>
      <c r="E649">
        <v>0</v>
      </c>
      <c r="F649" t="s">
        <v>17</v>
      </c>
      <c r="G649" t="s">
        <v>36</v>
      </c>
      <c r="H649" t="s">
        <v>38</v>
      </c>
      <c r="I649">
        <v>303308218</v>
      </c>
      <c r="J649" t="s">
        <v>38</v>
      </c>
      <c r="K649">
        <v>10995797.470000001</v>
      </c>
      <c r="L649" t="s">
        <v>464</v>
      </c>
      <c r="M649" t="str">
        <f t="shared" si="25"/>
        <v>controlindustrial</v>
      </c>
      <c r="N649" t="s">
        <v>28</v>
      </c>
      <c r="O649" t="s">
        <v>538</v>
      </c>
      <c r="P649" t="s">
        <v>593</v>
      </c>
      <c r="Q649" t="s">
        <v>16</v>
      </c>
    </row>
    <row r="650" spans="1:17" x14ac:dyDescent="0.2">
      <c r="A650" t="s">
        <v>598</v>
      </c>
      <c r="B650" t="s">
        <v>16</v>
      </c>
      <c r="C650">
        <v>3.504733951</v>
      </c>
      <c r="D650">
        <v>0</v>
      </c>
      <c r="E650">
        <v>0</v>
      </c>
      <c r="F650" t="s">
        <v>19</v>
      </c>
      <c r="G650" t="s">
        <v>41</v>
      </c>
      <c r="H650" t="s">
        <v>16</v>
      </c>
      <c r="I650" t="s">
        <v>16</v>
      </c>
      <c r="J650" t="s">
        <v>16</v>
      </c>
      <c r="K650" t="s">
        <v>16</v>
      </c>
      <c r="L650" t="s">
        <v>464</v>
      </c>
      <c r="M650" t="str">
        <f t="shared" ref="M650:M713" si="28">CONCATENATE(G650, L650)</f>
        <v>challengedindustrial</v>
      </c>
      <c r="N650" t="s">
        <v>28</v>
      </c>
      <c r="O650" t="s">
        <v>538</v>
      </c>
      <c r="P650" t="s">
        <v>593</v>
      </c>
      <c r="Q650">
        <v>0</v>
      </c>
    </row>
    <row r="651" spans="1:17" x14ac:dyDescent="0.2">
      <c r="A651" t="s">
        <v>1086</v>
      </c>
      <c r="B651">
        <v>0.197215589</v>
      </c>
      <c r="C651">
        <v>17326.309590000001</v>
      </c>
      <c r="D651">
        <v>1039.578575</v>
      </c>
      <c r="E651">
        <v>207915.7151</v>
      </c>
      <c r="F651" t="s">
        <v>33</v>
      </c>
      <c r="G651" t="s">
        <v>41</v>
      </c>
      <c r="H651" t="s">
        <v>16</v>
      </c>
      <c r="I651" t="s">
        <v>16</v>
      </c>
      <c r="J651" t="s">
        <v>16</v>
      </c>
      <c r="K651" t="s">
        <v>16</v>
      </c>
      <c r="L651" t="s">
        <v>464</v>
      </c>
      <c r="M651" t="str">
        <f t="shared" si="28"/>
        <v>challengedindustrial</v>
      </c>
      <c r="N651" t="s">
        <v>28</v>
      </c>
      <c r="O651" t="s">
        <v>538</v>
      </c>
      <c r="P651" t="s">
        <v>593</v>
      </c>
      <c r="Q651">
        <v>-12333650239</v>
      </c>
    </row>
    <row r="652" spans="1:17" x14ac:dyDescent="0.2">
      <c r="A652" t="s">
        <v>599</v>
      </c>
      <c r="B652">
        <v>0.24508108000000001</v>
      </c>
      <c r="C652">
        <v>25275684.84</v>
      </c>
      <c r="D652">
        <v>1516541.09</v>
      </c>
      <c r="E652">
        <v>303308218</v>
      </c>
      <c r="F652" t="s">
        <v>17</v>
      </c>
      <c r="G652" t="s">
        <v>41</v>
      </c>
      <c r="H652" t="s">
        <v>16</v>
      </c>
      <c r="I652" t="s">
        <v>16</v>
      </c>
      <c r="J652" t="s">
        <v>16</v>
      </c>
      <c r="K652" t="s">
        <v>16</v>
      </c>
      <c r="L652" t="s">
        <v>464</v>
      </c>
      <c r="M652" t="str">
        <f t="shared" si="28"/>
        <v>challengedindustrial</v>
      </c>
      <c r="N652" t="s">
        <v>28</v>
      </c>
      <c r="O652" t="s">
        <v>538</v>
      </c>
      <c r="P652" t="s">
        <v>593</v>
      </c>
      <c r="Q652">
        <v>1516541.09</v>
      </c>
    </row>
    <row r="653" spans="1:17" x14ac:dyDescent="0.2">
      <c r="A653" t="s">
        <v>600</v>
      </c>
      <c r="B653" t="s">
        <v>16</v>
      </c>
      <c r="C653" t="s">
        <v>16</v>
      </c>
      <c r="D653" t="s">
        <v>16</v>
      </c>
      <c r="E653" t="s">
        <v>16</v>
      </c>
      <c r="F653" t="s">
        <v>26</v>
      </c>
      <c r="G653" t="s">
        <v>26</v>
      </c>
      <c r="H653" t="s">
        <v>16</v>
      </c>
      <c r="I653" t="s">
        <v>16</v>
      </c>
      <c r="J653" t="s">
        <v>16</v>
      </c>
      <c r="K653" t="s">
        <v>16</v>
      </c>
      <c r="L653" t="s">
        <v>464</v>
      </c>
      <c r="M653" t="str">
        <f t="shared" si="28"/>
        <v>fecalindustrial</v>
      </c>
      <c r="N653" t="s">
        <v>28</v>
      </c>
      <c r="O653" t="s">
        <v>538</v>
      </c>
      <c r="P653" t="s">
        <v>601</v>
      </c>
      <c r="Q653" t="s">
        <v>16</v>
      </c>
    </row>
    <row r="654" spans="1:17" x14ac:dyDescent="0.2">
      <c r="A654" t="s">
        <v>602</v>
      </c>
      <c r="B654">
        <v>0.115947726</v>
      </c>
      <c r="C654">
        <v>242.47865949999999</v>
      </c>
      <c r="D654">
        <v>22.451727730000002</v>
      </c>
      <c r="E654">
        <v>4490.3455459999996</v>
      </c>
      <c r="F654" t="s">
        <v>19</v>
      </c>
      <c r="G654" t="s">
        <v>32</v>
      </c>
      <c r="H654" t="s">
        <v>16</v>
      </c>
      <c r="I654" t="s">
        <v>16</v>
      </c>
      <c r="J654" t="s">
        <v>16</v>
      </c>
      <c r="K654" t="s">
        <v>16</v>
      </c>
      <c r="L654" t="s">
        <v>464</v>
      </c>
      <c r="M654" t="str">
        <f t="shared" si="28"/>
        <v>abx_challengedindustrial</v>
      </c>
      <c r="N654" t="s">
        <v>28</v>
      </c>
      <c r="O654" t="s">
        <v>538</v>
      </c>
      <c r="P654" t="s">
        <v>601</v>
      </c>
      <c r="Q654">
        <v>22.451727730000002</v>
      </c>
    </row>
    <row r="655" spans="1:17" x14ac:dyDescent="0.2">
      <c r="A655" t="s">
        <v>1087</v>
      </c>
      <c r="B655">
        <v>0.10818311</v>
      </c>
      <c r="C655">
        <v>36600966.07</v>
      </c>
      <c r="D655">
        <v>73201.932140000004</v>
      </c>
      <c r="E655">
        <v>14640386.43</v>
      </c>
      <c r="F655" t="s">
        <v>33</v>
      </c>
      <c r="G655" t="s">
        <v>32</v>
      </c>
      <c r="H655" t="s">
        <v>16</v>
      </c>
      <c r="I655" t="s">
        <v>16</v>
      </c>
      <c r="J655" t="s">
        <v>16</v>
      </c>
      <c r="K655" t="s">
        <v>16</v>
      </c>
      <c r="L655" t="s">
        <v>464</v>
      </c>
      <c r="M655" t="str">
        <f t="shared" si="28"/>
        <v>abx_challengedindustrial</v>
      </c>
      <c r="N655" t="s">
        <v>28</v>
      </c>
      <c r="O655" t="s">
        <v>538</v>
      </c>
      <c r="P655" t="s">
        <v>601</v>
      </c>
      <c r="Q655">
        <v>73201.932140000004</v>
      </c>
    </row>
    <row r="656" spans="1:17" x14ac:dyDescent="0.2">
      <c r="A656" t="s">
        <v>603</v>
      </c>
      <c r="B656">
        <v>0.20676993399999999</v>
      </c>
      <c r="C656">
        <v>6442111.693</v>
      </c>
      <c r="D656">
        <v>38652.670160000001</v>
      </c>
      <c r="E656">
        <v>7730534.0310000004</v>
      </c>
      <c r="F656" t="s">
        <v>17</v>
      </c>
      <c r="G656" t="s">
        <v>32</v>
      </c>
      <c r="H656" t="s">
        <v>16</v>
      </c>
      <c r="I656" t="s">
        <v>16</v>
      </c>
      <c r="J656" t="s">
        <v>16</v>
      </c>
      <c r="K656" t="s">
        <v>16</v>
      </c>
      <c r="L656" t="s">
        <v>464</v>
      </c>
      <c r="M656" t="str">
        <f t="shared" si="28"/>
        <v>abx_challengedindustrial</v>
      </c>
      <c r="N656" t="s">
        <v>28</v>
      </c>
      <c r="O656" t="s">
        <v>538</v>
      </c>
      <c r="P656" t="s">
        <v>601</v>
      </c>
      <c r="Q656">
        <v>38652.670160000001</v>
      </c>
    </row>
    <row r="657" spans="1:17" x14ac:dyDescent="0.2">
      <c r="A657" t="s">
        <v>604</v>
      </c>
      <c r="B657" s="1">
        <v>0</v>
      </c>
      <c r="C657" t="s">
        <v>16</v>
      </c>
      <c r="D657">
        <v>0</v>
      </c>
      <c r="E657">
        <v>0</v>
      </c>
      <c r="F657" t="s">
        <v>19</v>
      </c>
      <c r="G657" t="s">
        <v>36</v>
      </c>
      <c r="H657" t="s">
        <v>37</v>
      </c>
      <c r="I657">
        <v>0</v>
      </c>
      <c r="J657" t="s">
        <v>37</v>
      </c>
      <c r="K657">
        <v>4490.3455459999996</v>
      </c>
      <c r="L657" t="s">
        <v>464</v>
      </c>
      <c r="M657" t="str">
        <f t="shared" si="28"/>
        <v>controlindustrial</v>
      </c>
      <c r="N657" t="s">
        <v>28</v>
      </c>
      <c r="O657" t="s">
        <v>538</v>
      </c>
      <c r="P657" t="s">
        <v>601</v>
      </c>
      <c r="Q657" t="s">
        <v>16</v>
      </c>
    </row>
    <row r="658" spans="1:17" x14ac:dyDescent="0.2">
      <c r="A658" t="s">
        <v>1088</v>
      </c>
      <c r="B658" s="1">
        <v>0</v>
      </c>
      <c r="C658">
        <v>43351930.090000004</v>
      </c>
      <c r="D658">
        <v>2601115.8050000002</v>
      </c>
      <c r="E658">
        <v>520223161.10000002</v>
      </c>
      <c r="F658" t="s">
        <v>33</v>
      </c>
      <c r="G658" t="s">
        <v>36</v>
      </c>
      <c r="H658" t="s">
        <v>38</v>
      </c>
      <c r="I658">
        <v>29732482.73</v>
      </c>
      <c r="J658" t="s">
        <v>38</v>
      </c>
      <c r="K658">
        <v>14640386.43</v>
      </c>
      <c r="L658" t="s">
        <v>464</v>
      </c>
      <c r="M658" t="str">
        <f t="shared" si="28"/>
        <v>controlindustrial</v>
      </c>
      <c r="N658" t="s">
        <v>28</v>
      </c>
      <c r="O658" t="s">
        <v>538</v>
      </c>
      <c r="P658" t="s">
        <v>601</v>
      </c>
      <c r="Q658" t="s">
        <v>16</v>
      </c>
    </row>
    <row r="659" spans="1:17" x14ac:dyDescent="0.2">
      <c r="A659" t="s">
        <v>605</v>
      </c>
      <c r="B659" s="1">
        <v>0</v>
      </c>
      <c r="C659" t="s">
        <v>16</v>
      </c>
      <c r="D659">
        <v>0</v>
      </c>
      <c r="E659">
        <v>0</v>
      </c>
      <c r="F659" t="s">
        <v>17</v>
      </c>
      <c r="G659" t="s">
        <v>36</v>
      </c>
      <c r="H659" t="s">
        <v>38</v>
      </c>
      <c r="I659">
        <v>223357446.69999999</v>
      </c>
      <c r="J659" t="s">
        <v>38</v>
      </c>
      <c r="K659">
        <v>7730534.0310000004</v>
      </c>
      <c r="L659" t="s">
        <v>464</v>
      </c>
      <c r="M659" t="str">
        <f t="shared" si="28"/>
        <v>controlindustrial</v>
      </c>
      <c r="N659" t="s">
        <v>28</v>
      </c>
      <c r="O659" t="s">
        <v>538</v>
      </c>
      <c r="P659" t="s">
        <v>601</v>
      </c>
      <c r="Q659" t="s">
        <v>16</v>
      </c>
    </row>
    <row r="660" spans="1:17" x14ac:dyDescent="0.2">
      <c r="A660" t="s">
        <v>606</v>
      </c>
      <c r="B660">
        <v>8.1638532E-2</v>
      </c>
      <c r="C660" t="s">
        <v>16</v>
      </c>
      <c r="D660">
        <v>0</v>
      </c>
      <c r="E660">
        <v>0</v>
      </c>
      <c r="F660" t="s">
        <v>19</v>
      </c>
      <c r="G660" t="s">
        <v>41</v>
      </c>
      <c r="H660" t="s">
        <v>16</v>
      </c>
      <c r="I660" t="s">
        <v>16</v>
      </c>
      <c r="J660" t="s">
        <v>16</v>
      </c>
      <c r="K660" t="s">
        <v>16</v>
      </c>
      <c r="L660" t="s">
        <v>464</v>
      </c>
      <c r="M660" t="str">
        <f t="shared" si="28"/>
        <v>challengedindustrial</v>
      </c>
      <c r="N660" t="s">
        <v>28</v>
      </c>
      <c r="O660" t="s">
        <v>538</v>
      </c>
      <c r="P660" t="s">
        <v>601</v>
      </c>
      <c r="Q660">
        <v>0</v>
      </c>
    </row>
    <row r="661" spans="1:17" x14ac:dyDescent="0.2">
      <c r="A661" t="s">
        <v>1089</v>
      </c>
      <c r="B661">
        <v>0.106440179</v>
      </c>
      <c r="C661">
        <v>2477706.8939999999</v>
      </c>
      <c r="D661">
        <v>148662.4136</v>
      </c>
      <c r="E661">
        <v>29732482.73</v>
      </c>
      <c r="F661" t="s">
        <v>33</v>
      </c>
      <c r="G661" t="s">
        <v>41</v>
      </c>
      <c r="H661" t="s">
        <v>16</v>
      </c>
      <c r="I661" t="s">
        <v>16</v>
      </c>
      <c r="J661" t="s">
        <v>16</v>
      </c>
      <c r="K661" t="s">
        <v>16</v>
      </c>
      <c r="L661" t="s">
        <v>464</v>
      </c>
      <c r="M661" t="str">
        <f t="shared" si="28"/>
        <v>challengedindustrial</v>
      </c>
      <c r="N661" t="s">
        <v>28</v>
      </c>
      <c r="O661" t="s">
        <v>538</v>
      </c>
      <c r="P661" t="s">
        <v>601</v>
      </c>
      <c r="Q661">
        <v>-968124.8199</v>
      </c>
    </row>
    <row r="662" spans="1:17" x14ac:dyDescent="0.2">
      <c r="A662" t="s">
        <v>607</v>
      </c>
      <c r="B662">
        <v>0.167909591</v>
      </c>
      <c r="C662">
        <v>18613120.559999999</v>
      </c>
      <c r="D662">
        <v>1116787.2339999999</v>
      </c>
      <c r="E662">
        <v>223357446.69999999</v>
      </c>
      <c r="F662" t="s">
        <v>17</v>
      </c>
      <c r="G662" t="s">
        <v>41</v>
      </c>
      <c r="H662" t="s">
        <v>16</v>
      </c>
      <c r="I662" t="s">
        <v>16</v>
      </c>
      <c r="J662" t="s">
        <v>16</v>
      </c>
      <c r="K662" t="s">
        <v>16</v>
      </c>
      <c r="L662" t="s">
        <v>464</v>
      </c>
      <c r="M662" t="str">
        <f t="shared" si="28"/>
        <v>challengedindustrial</v>
      </c>
      <c r="N662" t="s">
        <v>28</v>
      </c>
      <c r="O662" t="s">
        <v>538</v>
      </c>
      <c r="P662" t="s">
        <v>601</v>
      </c>
      <c r="Q662">
        <v>1116787.2339999999</v>
      </c>
    </row>
    <row r="663" spans="1:17" x14ac:dyDescent="0.2">
      <c r="A663" t="s">
        <v>608</v>
      </c>
      <c r="B663" t="s">
        <v>16</v>
      </c>
      <c r="C663" s="1" t="s">
        <v>16</v>
      </c>
      <c r="D663" s="1" t="s">
        <v>16</v>
      </c>
      <c r="E663" t="s">
        <v>16</v>
      </c>
      <c r="F663" t="s">
        <v>26</v>
      </c>
      <c r="G663" t="s">
        <v>26</v>
      </c>
      <c r="H663" t="s">
        <v>16</v>
      </c>
      <c r="I663" t="s">
        <v>16</v>
      </c>
      <c r="J663" t="s">
        <v>16</v>
      </c>
      <c r="K663" t="s">
        <v>16</v>
      </c>
      <c r="L663" t="s">
        <v>464</v>
      </c>
      <c r="M663" t="str">
        <f t="shared" si="28"/>
        <v>fecalindustrial</v>
      </c>
      <c r="N663" t="s">
        <v>28</v>
      </c>
      <c r="O663" t="s">
        <v>538</v>
      </c>
      <c r="P663" t="s">
        <v>609</v>
      </c>
      <c r="Q663" t="s">
        <v>16</v>
      </c>
    </row>
    <row r="664" spans="1:17" x14ac:dyDescent="0.2">
      <c r="A664" t="s">
        <v>610</v>
      </c>
      <c r="B664">
        <v>0.12756541399999999</v>
      </c>
      <c r="C664">
        <v>29.333513814804299</v>
      </c>
      <c r="D664">
        <v>2.7160660939633612</v>
      </c>
      <c r="E664">
        <f>D664*200</f>
        <v>543.21321879267225</v>
      </c>
      <c r="F664" t="s">
        <v>19</v>
      </c>
      <c r="G664" t="s">
        <v>32</v>
      </c>
      <c r="H664" t="s">
        <v>16</v>
      </c>
      <c r="I664" t="s">
        <v>16</v>
      </c>
      <c r="J664" t="s">
        <v>16</v>
      </c>
      <c r="K664" t="s">
        <v>16</v>
      </c>
      <c r="L664" t="s">
        <v>464</v>
      </c>
      <c r="M664" t="str">
        <f t="shared" si="28"/>
        <v>abx_challengedindustrial</v>
      </c>
      <c r="N664" t="s">
        <v>28</v>
      </c>
      <c r="O664" t="s">
        <v>538</v>
      </c>
      <c r="P664" t="s">
        <v>609</v>
      </c>
      <c r="Q664">
        <f>E664</f>
        <v>543.21321879267225</v>
      </c>
    </row>
    <row r="665" spans="1:17" x14ac:dyDescent="0.2">
      <c r="A665" t="s">
        <v>611</v>
      </c>
      <c r="B665">
        <v>0</v>
      </c>
      <c r="C665" t="s">
        <v>16</v>
      </c>
      <c r="D665">
        <v>0</v>
      </c>
      <c r="E665">
        <f t="shared" ref="E665:E666" si="29">D665*200</f>
        <v>0</v>
      </c>
      <c r="F665" t="s">
        <v>19</v>
      </c>
      <c r="G665" t="s">
        <v>36</v>
      </c>
      <c r="H665" t="s">
        <v>37</v>
      </c>
      <c r="I665">
        <v>0</v>
      </c>
      <c r="J665" t="s">
        <v>37</v>
      </c>
      <c r="K665">
        <v>543.21321880000005</v>
      </c>
      <c r="L665" t="s">
        <v>464</v>
      </c>
      <c r="M665" t="str">
        <f t="shared" si="28"/>
        <v>controlindustrial</v>
      </c>
      <c r="N665" t="s">
        <v>28</v>
      </c>
      <c r="O665" t="s">
        <v>538</v>
      </c>
      <c r="P665" t="s">
        <v>609</v>
      </c>
      <c r="Q665" t="s">
        <v>16</v>
      </c>
    </row>
    <row r="666" spans="1:17" x14ac:dyDescent="0.2">
      <c r="A666" t="s">
        <v>612</v>
      </c>
      <c r="B666">
        <v>9.4322132000000003E-2</v>
      </c>
      <c r="C666" t="s">
        <v>16</v>
      </c>
      <c r="D666">
        <v>0</v>
      </c>
      <c r="E666">
        <f t="shared" si="29"/>
        <v>0</v>
      </c>
      <c r="F666" t="s">
        <v>19</v>
      </c>
      <c r="G666" t="s">
        <v>41</v>
      </c>
      <c r="H666" t="s">
        <v>16</v>
      </c>
      <c r="I666" t="s">
        <v>16</v>
      </c>
      <c r="J666" t="s">
        <v>16</v>
      </c>
      <c r="K666" t="s">
        <v>16</v>
      </c>
      <c r="L666" t="s">
        <v>464</v>
      </c>
      <c r="M666" t="str">
        <f t="shared" si="28"/>
        <v>challengedindustrial</v>
      </c>
      <c r="N666" t="s">
        <v>28</v>
      </c>
      <c r="O666" t="s">
        <v>538</v>
      </c>
      <c r="P666" t="s">
        <v>609</v>
      </c>
      <c r="Q666">
        <v>0</v>
      </c>
    </row>
    <row r="667" spans="1:17" x14ac:dyDescent="0.2">
      <c r="A667" t="s">
        <v>613</v>
      </c>
      <c r="B667" t="s">
        <v>16</v>
      </c>
      <c r="C667" t="s">
        <v>16</v>
      </c>
      <c r="D667" t="s">
        <v>16</v>
      </c>
      <c r="E667" t="s">
        <v>16</v>
      </c>
      <c r="F667" t="s">
        <v>26</v>
      </c>
      <c r="G667" t="s">
        <v>26</v>
      </c>
      <c r="H667" t="s">
        <v>16</v>
      </c>
      <c r="I667" t="s">
        <v>16</v>
      </c>
      <c r="J667" t="s">
        <v>16</v>
      </c>
      <c r="K667" t="s">
        <v>16</v>
      </c>
      <c r="L667" t="s">
        <v>464</v>
      </c>
      <c r="M667" t="str">
        <f t="shared" si="28"/>
        <v>fecalindustrial</v>
      </c>
      <c r="N667" t="s">
        <v>28</v>
      </c>
      <c r="O667" t="s">
        <v>538</v>
      </c>
      <c r="P667" t="s">
        <v>614</v>
      </c>
      <c r="Q667" t="s">
        <v>16</v>
      </c>
    </row>
    <row r="668" spans="1:17" x14ac:dyDescent="0.2">
      <c r="A668" t="s">
        <v>615</v>
      </c>
      <c r="B668">
        <v>0.15023247200000001</v>
      </c>
      <c r="C668">
        <v>65.413714819999996</v>
      </c>
      <c r="D668">
        <v>0</v>
      </c>
      <c r="E668">
        <v>0</v>
      </c>
      <c r="F668" t="s">
        <v>19</v>
      </c>
      <c r="G668" t="s">
        <v>32</v>
      </c>
      <c r="H668" t="s">
        <v>16</v>
      </c>
      <c r="I668" t="s">
        <v>16</v>
      </c>
      <c r="J668" t="s">
        <v>16</v>
      </c>
      <c r="K668" t="s">
        <v>16</v>
      </c>
      <c r="L668" t="s">
        <v>464</v>
      </c>
      <c r="M668" t="str">
        <f t="shared" si="28"/>
        <v>abx_challengedindustrial</v>
      </c>
      <c r="N668" t="s">
        <v>28</v>
      </c>
      <c r="O668" t="s">
        <v>538</v>
      </c>
      <c r="P668" t="s">
        <v>614</v>
      </c>
      <c r="Q668">
        <v>0</v>
      </c>
    </row>
    <row r="669" spans="1:17" x14ac:dyDescent="0.2">
      <c r="A669" t="s">
        <v>1090</v>
      </c>
      <c r="B669">
        <v>0.14759566099999999</v>
      </c>
      <c r="C669">
        <v>17492455.260000002</v>
      </c>
      <c r="D669">
        <v>34984.910519999998</v>
      </c>
      <c r="E669">
        <v>6996982.1040000003</v>
      </c>
      <c r="F669" t="s">
        <v>33</v>
      </c>
      <c r="G669" t="s">
        <v>32</v>
      </c>
      <c r="H669" t="s">
        <v>16</v>
      </c>
      <c r="I669" t="s">
        <v>16</v>
      </c>
      <c r="J669" t="s">
        <v>16</v>
      </c>
      <c r="K669" t="s">
        <v>16</v>
      </c>
      <c r="L669" t="s">
        <v>464</v>
      </c>
      <c r="M669" t="str">
        <f t="shared" si="28"/>
        <v>abx_challengedindustrial</v>
      </c>
      <c r="N669" t="s">
        <v>28</v>
      </c>
      <c r="O669" t="s">
        <v>538</v>
      </c>
      <c r="P669" t="s">
        <v>614</v>
      </c>
      <c r="Q669">
        <v>34984.910519999998</v>
      </c>
    </row>
    <row r="670" spans="1:17" x14ac:dyDescent="0.2">
      <c r="A670" t="s">
        <v>616</v>
      </c>
      <c r="B670">
        <v>0.19278311000000001</v>
      </c>
      <c r="C670">
        <v>8983204.4609999992</v>
      </c>
      <c r="D670">
        <v>53899.226759999998</v>
      </c>
      <c r="E670">
        <v>10779845.35</v>
      </c>
      <c r="F670" t="s">
        <v>17</v>
      </c>
      <c r="G670" t="s">
        <v>32</v>
      </c>
      <c r="H670" t="s">
        <v>16</v>
      </c>
      <c r="I670" t="s">
        <v>16</v>
      </c>
      <c r="J670" t="s">
        <v>16</v>
      </c>
      <c r="K670" t="s">
        <v>16</v>
      </c>
      <c r="L670" t="s">
        <v>464</v>
      </c>
      <c r="M670" t="str">
        <f t="shared" si="28"/>
        <v>abx_challengedindustrial</v>
      </c>
      <c r="N670" t="s">
        <v>28</v>
      </c>
      <c r="O670" t="s">
        <v>538</v>
      </c>
      <c r="P670" t="s">
        <v>614</v>
      </c>
      <c r="Q670">
        <v>53899.226759999998</v>
      </c>
    </row>
    <row r="671" spans="1:17" x14ac:dyDescent="0.2">
      <c r="A671" t="s">
        <v>617</v>
      </c>
      <c r="B671" s="1">
        <v>0</v>
      </c>
      <c r="C671">
        <v>2.1308495860000001</v>
      </c>
      <c r="D671">
        <v>0</v>
      </c>
      <c r="E671">
        <v>0</v>
      </c>
      <c r="F671" t="s">
        <v>19</v>
      </c>
      <c r="G671" t="s">
        <v>36</v>
      </c>
      <c r="H671" t="s">
        <v>37</v>
      </c>
      <c r="I671">
        <v>0</v>
      </c>
      <c r="J671" t="s">
        <v>37</v>
      </c>
      <c r="K671">
        <v>0</v>
      </c>
      <c r="L671" t="s">
        <v>464</v>
      </c>
      <c r="M671" t="str">
        <f t="shared" si="28"/>
        <v>controlindustrial</v>
      </c>
      <c r="N671" t="s">
        <v>28</v>
      </c>
      <c r="O671" t="s">
        <v>538</v>
      </c>
      <c r="P671" t="s">
        <v>614</v>
      </c>
      <c r="Q671" t="s">
        <v>16</v>
      </c>
    </row>
    <row r="672" spans="1:17" x14ac:dyDescent="0.2">
      <c r="A672" t="s">
        <v>1091</v>
      </c>
      <c r="B672" s="1">
        <v>0</v>
      </c>
      <c r="C672">
        <v>433720228.69999999</v>
      </c>
      <c r="D672">
        <v>26023213.719999999</v>
      </c>
      <c r="E672">
        <v>5204642745</v>
      </c>
      <c r="F672" t="s">
        <v>33</v>
      </c>
      <c r="G672" t="s">
        <v>36</v>
      </c>
      <c r="H672" t="s">
        <v>38</v>
      </c>
      <c r="I672">
        <v>18916510.699999999</v>
      </c>
      <c r="J672" t="s">
        <v>38</v>
      </c>
      <c r="K672">
        <v>6996982.1040000003</v>
      </c>
      <c r="L672" t="s">
        <v>464</v>
      </c>
      <c r="M672" t="str">
        <f t="shared" si="28"/>
        <v>controlindustrial</v>
      </c>
      <c r="N672" t="s">
        <v>28</v>
      </c>
      <c r="O672" t="s">
        <v>538</v>
      </c>
      <c r="P672" t="s">
        <v>614</v>
      </c>
      <c r="Q672" t="s">
        <v>16</v>
      </c>
    </row>
    <row r="673" spans="1:17" x14ac:dyDescent="0.2">
      <c r="A673" t="s">
        <v>618</v>
      </c>
      <c r="B673" s="1">
        <v>0</v>
      </c>
      <c r="C673" t="s">
        <v>16</v>
      </c>
      <c r="D673">
        <v>0</v>
      </c>
      <c r="E673">
        <v>0</v>
      </c>
      <c r="F673" t="s">
        <v>17</v>
      </c>
      <c r="G673" t="s">
        <v>36</v>
      </c>
      <c r="H673" t="s">
        <v>38</v>
      </c>
      <c r="I673">
        <v>239793062.30000001</v>
      </c>
      <c r="J673" t="s">
        <v>38</v>
      </c>
      <c r="K673">
        <v>10779845.35</v>
      </c>
      <c r="L673" t="s">
        <v>464</v>
      </c>
      <c r="M673" t="str">
        <f t="shared" si="28"/>
        <v>controlindustrial</v>
      </c>
      <c r="N673" t="s">
        <v>28</v>
      </c>
      <c r="O673" t="s">
        <v>538</v>
      </c>
      <c r="P673" t="s">
        <v>614</v>
      </c>
      <c r="Q673" t="s">
        <v>16</v>
      </c>
    </row>
    <row r="674" spans="1:17" x14ac:dyDescent="0.2">
      <c r="A674" t="s">
        <v>619</v>
      </c>
      <c r="B674">
        <v>0.11546414300000001</v>
      </c>
      <c r="C674">
        <v>3.5362503470000002</v>
      </c>
      <c r="D674">
        <v>0</v>
      </c>
      <c r="E674">
        <v>0</v>
      </c>
      <c r="F674" t="s">
        <v>19</v>
      </c>
      <c r="G674" t="s">
        <v>41</v>
      </c>
      <c r="H674" t="s">
        <v>16</v>
      </c>
      <c r="I674" t="s">
        <v>16</v>
      </c>
      <c r="J674" t="s">
        <v>16</v>
      </c>
      <c r="K674" t="s">
        <v>16</v>
      </c>
      <c r="L674" t="s">
        <v>464</v>
      </c>
      <c r="M674" t="str">
        <f t="shared" si="28"/>
        <v>challengedindustrial</v>
      </c>
      <c r="N674" t="s">
        <v>28</v>
      </c>
      <c r="O674" t="s">
        <v>538</v>
      </c>
      <c r="P674" t="s">
        <v>614</v>
      </c>
      <c r="Q674">
        <v>0</v>
      </c>
    </row>
    <row r="675" spans="1:17" x14ac:dyDescent="0.2">
      <c r="A675" t="s">
        <v>1092</v>
      </c>
      <c r="B675">
        <v>0.21822666399999999</v>
      </c>
      <c r="C675">
        <v>1576375.8910000001</v>
      </c>
      <c r="D675">
        <v>94582.553490000006</v>
      </c>
      <c r="E675">
        <v>18916510.699999999</v>
      </c>
      <c r="F675" t="s">
        <v>33</v>
      </c>
      <c r="G675" t="s">
        <v>41</v>
      </c>
      <c r="H675" t="s">
        <v>16</v>
      </c>
      <c r="I675" t="s">
        <v>16</v>
      </c>
      <c r="J675" t="s">
        <v>16</v>
      </c>
      <c r="K675" t="s">
        <v>16</v>
      </c>
      <c r="L675" t="s">
        <v>464</v>
      </c>
      <c r="M675" t="str">
        <f t="shared" si="28"/>
        <v>challengedindustrial</v>
      </c>
      <c r="N675" t="s">
        <v>28</v>
      </c>
      <c r="O675" t="s">
        <v>538</v>
      </c>
      <c r="P675" t="s">
        <v>614</v>
      </c>
      <c r="Q675">
        <v>-1104382.7579999999</v>
      </c>
    </row>
    <row r="676" spans="1:17" x14ac:dyDescent="0.2">
      <c r="A676" t="s">
        <v>620</v>
      </c>
      <c r="B676">
        <v>0.18046374900000001</v>
      </c>
      <c r="C676">
        <v>19982755.190000001</v>
      </c>
      <c r="D676">
        <v>1198965.3119999999</v>
      </c>
      <c r="E676">
        <v>239793062.30000001</v>
      </c>
      <c r="F676" t="s">
        <v>17</v>
      </c>
      <c r="G676" t="s">
        <v>41</v>
      </c>
      <c r="H676" t="s">
        <v>16</v>
      </c>
      <c r="I676" t="s">
        <v>16</v>
      </c>
      <c r="J676" t="s">
        <v>16</v>
      </c>
      <c r="K676" t="s">
        <v>16</v>
      </c>
      <c r="L676" t="s">
        <v>464</v>
      </c>
      <c r="M676" t="str">
        <f t="shared" si="28"/>
        <v>challengedindustrial</v>
      </c>
      <c r="N676" t="s">
        <v>28</v>
      </c>
      <c r="O676" t="s">
        <v>538</v>
      </c>
      <c r="P676" t="s">
        <v>614</v>
      </c>
      <c r="Q676">
        <v>1198965.3119999999</v>
      </c>
    </row>
    <row r="677" spans="1:17" x14ac:dyDescent="0.2">
      <c r="A677" t="s">
        <v>621</v>
      </c>
      <c r="B677" t="s">
        <v>16</v>
      </c>
      <c r="C677" t="s">
        <v>16</v>
      </c>
      <c r="D677" t="s">
        <v>16</v>
      </c>
      <c r="E677" t="s">
        <v>16</v>
      </c>
      <c r="F677" t="s">
        <v>26</v>
      </c>
      <c r="G677" t="s">
        <v>26</v>
      </c>
      <c r="H677" t="s">
        <v>16</v>
      </c>
      <c r="I677" t="s">
        <v>16</v>
      </c>
      <c r="J677" t="s">
        <v>16</v>
      </c>
      <c r="K677" t="s">
        <v>16</v>
      </c>
      <c r="L677" t="s">
        <v>464</v>
      </c>
      <c r="M677" t="str">
        <f t="shared" si="28"/>
        <v>fecalindustrial</v>
      </c>
      <c r="N677" t="s">
        <v>28</v>
      </c>
      <c r="O677" t="s">
        <v>538</v>
      </c>
      <c r="P677" t="s">
        <v>622</v>
      </c>
      <c r="Q677" t="s">
        <v>16</v>
      </c>
    </row>
    <row r="678" spans="1:17" x14ac:dyDescent="0.2">
      <c r="A678" t="s">
        <v>623</v>
      </c>
      <c r="B678">
        <v>0.138614497</v>
      </c>
      <c r="C678">
        <v>45.786543729999998</v>
      </c>
      <c r="D678">
        <v>0</v>
      </c>
      <c r="E678">
        <v>0</v>
      </c>
      <c r="F678" t="s">
        <v>19</v>
      </c>
      <c r="G678" t="s">
        <v>32</v>
      </c>
      <c r="H678" t="s">
        <v>16</v>
      </c>
      <c r="I678" t="s">
        <v>16</v>
      </c>
      <c r="J678" t="s">
        <v>16</v>
      </c>
      <c r="K678" t="s">
        <v>16</v>
      </c>
      <c r="L678" t="s">
        <v>464</v>
      </c>
      <c r="M678" t="str">
        <f t="shared" si="28"/>
        <v>abx_challengedindustrial</v>
      </c>
      <c r="N678" t="s">
        <v>28</v>
      </c>
      <c r="O678" t="s">
        <v>538</v>
      </c>
      <c r="P678" t="s">
        <v>622</v>
      </c>
      <c r="Q678">
        <v>0</v>
      </c>
    </row>
    <row r="679" spans="1:17" x14ac:dyDescent="0.2">
      <c r="A679" t="s">
        <v>1093</v>
      </c>
      <c r="B679">
        <v>0.123332469</v>
      </c>
      <c r="C679">
        <v>40813113.859999999</v>
      </c>
      <c r="D679">
        <v>81626.227719999995</v>
      </c>
      <c r="E679">
        <v>16325245.539999999</v>
      </c>
      <c r="F679" t="s">
        <v>33</v>
      </c>
      <c r="G679" t="s">
        <v>32</v>
      </c>
      <c r="H679" t="s">
        <v>16</v>
      </c>
      <c r="I679" t="s">
        <v>16</v>
      </c>
      <c r="J679" t="s">
        <v>16</v>
      </c>
      <c r="K679" t="s">
        <v>16</v>
      </c>
      <c r="L679" t="s">
        <v>464</v>
      </c>
      <c r="M679" t="str">
        <f t="shared" si="28"/>
        <v>abx_challengedindustrial</v>
      </c>
      <c r="N679" t="s">
        <v>28</v>
      </c>
      <c r="O679" t="s">
        <v>538</v>
      </c>
      <c r="P679" t="s">
        <v>622</v>
      </c>
      <c r="Q679">
        <v>38784.781040000002</v>
      </c>
    </row>
    <row r="680" spans="1:17" x14ac:dyDescent="0.2">
      <c r="A680" t="s">
        <v>624</v>
      </c>
      <c r="B680">
        <v>0.190309373</v>
      </c>
      <c r="C680">
        <v>7140241.1129999999</v>
      </c>
      <c r="D680">
        <v>42841.446680000001</v>
      </c>
      <c r="E680">
        <v>8568289.3350000009</v>
      </c>
      <c r="F680" t="s">
        <v>17</v>
      </c>
      <c r="G680" t="s">
        <v>32</v>
      </c>
      <c r="H680" t="s">
        <v>16</v>
      </c>
      <c r="I680" t="s">
        <v>16</v>
      </c>
      <c r="J680" t="s">
        <v>16</v>
      </c>
      <c r="K680" t="s">
        <v>16</v>
      </c>
      <c r="L680" t="s">
        <v>464</v>
      </c>
      <c r="M680" t="str">
        <f t="shared" si="28"/>
        <v>abx_challengedindustrial</v>
      </c>
      <c r="N680" t="s">
        <v>28</v>
      </c>
      <c r="O680" t="s">
        <v>538</v>
      </c>
      <c r="P680" t="s">
        <v>622</v>
      </c>
      <c r="Q680">
        <v>42841.446680000001</v>
      </c>
    </row>
    <row r="681" spans="1:17" x14ac:dyDescent="0.2">
      <c r="A681" t="s">
        <v>625</v>
      </c>
      <c r="B681" s="1">
        <v>0</v>
      </c>
      <c r="C681">
        <v>5.8470840610000003</v>
      </c>
      <c r="D681">
        <v>0</v>
      </c>
      <c r="E681">
        <v>0</v>
      </c>
      <c r="F681" t="s">
        <v>19</v>
      </c>
      <c r="G681" t="s">
        <v>36</v>
      </c>
      <c r="H681" t="s">
        <v>37</v>
      </c>
      <c r="I681">
        <v>0</v>
      </c>
      <c r="J681" t="s">
        <v>37</v>
      </c>
      <c r="K681">
        <v>0</v>
      </c>
      <c r="L681" t="s">
        <v>464</v>
      </c>
      <c r="M681" t="str">
        <f t="shared" si="28"/>
        <v>controlindustrial</v>
      </c>
      <c r="N681" t="s">
        <v>28</v>
      </c>
      <c r="O681" t="s">
        <v>538</v>
      </c>
      <c r="P681" t="s">
        <v>622</v>
      </c>
      <c r="Q681" t="s">
        <v>16</v>
      </c>
    </row>
    <row r="682" spans="1:17" x14ac:dyDescent="0.2">
      <c r="A682" t="s">
        <v>1094</v>
      </c>
      <c r="B682" s="1">
        <v>0</v>
      </c>
      <c r="C682">
        <v>1242329699</v>
      </c>
      <c r="D682">
        <v>74539781.959999993</v>
      </c>
      <c r="E682">
        <v>14907956392</v>
      </c>
      <c r="F682" t="s">
        <v>33</v>
      </c>
      <c r="G682" t="s">
        <v>36</v>
      </c>
      <c r="H682" t="s">
        <v>37</v>
      </c>
      <c r="I682">
        <v>0</v>
      </c>
      <c r="J682" t="s">
        <v>38</v>
      </c>
      <c r="K682">
        <v>16325245.539999999</v>
      </c>
      <c r="L682" t="s">
        <v>464</v>
      </c>
      <c r="M682" t="str">
        <f t="shared" si="28"/>
        <v>controlindustrial</v>
      </c>
      <c r="N682" t="s">
        <v>28</v>
      </c>
      <c r="O682" t="s">
        <v>538</v>
      </c>
      <c r="P682" t="s">
        <v>622</v>
      </c>
      <c r="Q682" t="s">
        <v>16</v>
      </c>
    </row>
    <row r="683" spans="1:17" x14ac:dyDescent="0.2">
      <c r="A683" t="s">
        <v>626</v>
      </c>
      <c r="B683" s="1">
        <v>0</v>
      </c>
      <c r="C683" t="s">
        <v>16</v>
      </c>
      <c r="D683">
        <v>0</v>
      </c>
      <c r="E683">
        <v>0</v>
      </c>
      <c r="F683" t="s">
        <v>17</v>
      </c>
      <c r="G683" t="s">
        <v>36</v>
      </c>
      <c r="H683" t="s">
        <v>38</v>
      </c>
      <c r="I683">
        <v>119684123</v>
      </c>
      <c r="J683" t="s">
        <v>38</v>
      </c>
      <c r="K683">
        <v>8568289.3350000009</v>
      </c>
      <c r="L683" t="s">
        <v>464</v>
      </c>
      <c r="M683" t="str">
        <f t="shared" si="28"/>
        <v>controlindustrial</v>
      </c>
      <c r="N683" t="s">
        <v>28</v>
      </c>
      <c r="O683" t="s">
        <v>538</v>
      </c>
      <c r="P683" t="s">
        <v>622</v>
      </c>
      <c r="Q683" t="s">
        <v>16</v>
      </c>
    </row>
    <row r="684" spans="1:17" x14ac:dyDescent="0.2">
      <c r="A684" t="s">
        <v>627</v>
      </c>
      <c r="B684">
        <v>7.9889920000000003E-2</v>
      </c>
      <c r="C684">
        <v>24.3536997</v>
      </c>
      <c r="D684">
        <v>0</v>
      </c>
      <c r="E684">
        <v>0</v>
      </c>
      <c r="F684" t="s">
        <v>19</v>
      </c>
      <c r="G684" t="s">
        <v>41</v>
      </c>
      <c r="H684" t="s">
        <v>16</v>
      </c>
      <c r="I684" t="s">
        <v>16</v>
      </c>
      <c r="J684" t="s">
        <v>16</v>
      </c>
      <c r="K684" t="s">
        <v>16</v>
      </c>
      <c r="L684" t="s">
        <v>464</v>
      </c>
      <c r="M684" t="str">
        <f t="shared" si="28"/>
        <v>challengedindustrial</v>
      </c>
      <c r="N684" t="s">
        <v>28</v>
      </c>
      <c r="O684" t="s">
        <v>538</v>
      </c>
      <c r="P684" t="s">
        <v>622</v>
      </c>
      <c r="Q684">
        <v>0</v>
      </c>
    </row>
    <row r="685" spans="1:17" x14ac:dyDescent="0.2">
      <c r="A685" t="s">
        <v>1095</v>
      </c>
      <c r="B685">
        <v>0.22243663</v>
      </c>
      <c r="C685" t="s">
        <v>16</v>
      </c>
      <c r="D685">
        <v>0</v>
      </c>
      <c r="E685">
        <v>0</v>
      </c>
      <c r="F685" t="s">
        <v>33</v>
      </c>
      <c r="G685" t="s">
        <v>41</v>
      </c>
      <c r="H685" t="s">
        <v>16</v>
      </c>
      <c r="I685" t="s">
        <v>16</v>
      </c>
      <c r="J685" t="s">
        <v>16</v>
      </c>
      <c r="K685" t="s">
        <v>16</v>
      </c>
      <c r="L685" t="s">
        <v>464</v>
      </c>
      <c r="M685" t="str">
        <f t="shared" si="28"/>
        <v>challengedindustrial</v>
      </c>
      <c r="N685" t="s">
        <v>28</v>
      </c>
      <c r="O685" t="s">
        <v>538</v>
      </c>
      <c r="P685" t="s">
        <v>622</v>
      </c>
      <c r="Q685">
        <v>-14907956392</v>
      </c>
    </row>
    <row r="686" spans="1:17" x14ac:dyDescent="0.2">
      <c r="A686" t="s">
        <v>628</v>
      </c>
      <c r="B686">
        <v>0.107254131</v>
      </c>
      <c r="C686">
        <v>9973676.9179999996</v>
      </c>
      <c r="D686">
        <v>598420.61510000005</v>
      </c>
      <c r="E686">
        <v>119684123</v>
      </c>
      <c r="F686" t="s">
        <v>17</v>
      </c>
      <c r="G686" t="s">
        <v>41</v>
      </c>
      <c r="H686" t="s">
        <v>16</v>
      </c>
      <c r="I686" t="s">
        <v>16</v>
      </c>
      <c r="J686" t="s">
        <v>16</v>
      </c>
      <c r="K686" t="s">
        <v>16</v>
      </c>
      <c r="L686" t="s">
        <v>464</v>
      </c>
      <c r="M686" t="str">
        <f t="shared" si="28"/>
        <v>challengedindustrial</v>
      </c>
      <c r="N686" t="s">
        <v>28</v>
      </c>
      <c r="O686" t="s">
        <v>538</v>
      </c>
      <c r="P686" t="s">
        <v>622</v>
      </c>
      <c r="Q686">
        <v>598420.61510000005</v>
      </c>
    </row>
    <row r="687" spans="1:17" x14ac:dyDescent="0.2">
      <c r="A687" t="s">
        <v>629</v>
      </c>
      <c r="B687" t="s">
        <v>16</v>
      </c>
      <c r="C687" t="s">
        <v>16</v>
      </c>
      <c r="D687" t="s">
        <v>16</v>
      </c>
      <c r="E687" t="s">
        <v>16</v>
      </c>
      <c r="F687" t="s">
        <v>26</v>
      </c>
      <c r="G687" t="s">
        <v>26</v>
      </c>
      <c r="H687" t="s">
        <v>16</v>
      </c>
      <c r="I687" t="s">
        <v>16</v>
      </c>
      <c r="J687" t="s">
        <v>16</v>
      </c>
      <c r="K687" t="s">
        <v>16</v>
      </c>
      <c r="L687" t="s">
        <v>464</v>
      </c>
      <c r="M687" t="str">
        <f t="shared" si="28"/>
        <v>fecalindustrial</v>
      </c>
      <c r="N687" t="s">
        <v>28</v>
      </c>
      <c r="O687" t="s">
        <v>538</v>
      </c>
      <c r="P687" t="s">
        <v>630</v>
      </c>
      <c r="Q687" t="s">
        <v>16</v>
      </c>
    </row>
    <row r="688" spans="1:17" x14ac:dyDescent="0.2">
      <c r="A688" t="s">
        <v>631</v>
      </c>
      <c r="B688">
        <v>0.159322309</v>
      </c>
      <c r="C688">
        <v>157.96330735590001</v>
      </c>
      <c r="D688">
        <v>14.626232162583335</v>
      </c>
      <c r="E688">
        <f>D688*200</f>
        <v>2925.246432516667</v>
      </c>
      <c r="F688" t="s">
        <v>19</v>
      </c>
      <c r="G688" t="s">
        <v>32</v>
      </c>
      <c r="H688" t="s">
        <v>16</v>
      </c>
      <c r="I688" t="s">
        <v>16</v>
      </c>
      <c r="J688" t="s">
        <v>16</v>
      </c>
      <c r="K688" t="s">
        <v>16</v>
      </c>
      <c r="L688" t="s">
        <v>464</v>
      </c>
      <c r="M688" t="str">
        <f t="shared" si="28"/>
        <v>abx_challengedindustrial</v>
      </c>
      <c r="N688" t="s">
        <v>28</v>
      </c>
      <c r="O688" t="s">
        <v>538</v>
      </c>
      <c r="P688" t="s">
        <v>630</v>
      </c>
      <c r="Q688">
        <f>E688</f>
        <v>2925.246432516667</v>
      </c>
    </row>
    <row r="689" spans="1:17" x14ac:dyDescent="0.2">
      <c r="A689" t="s">
        <v>632</v>
      </c>
      <c r="B689">
        <v>0</v>
      </c>
      <c r="C689" t="s">
        <v>16</v>
      </c>
      <c r="D689">
        <v>0</v>
      </c>
      <c r="E689">
        <f t="shared" ref="E689:E690" si="30">D689*200</f>
        <v>0</v>
      </c>
      <c r="F689" t="s">
        <v>19</v>
      </c>
      <c r="G689" t="s">
        <v>36</v>
      </c>
      <c r="H689" t="s">
        <v>37</v>
      </c>
      <c r="I689">
        <v>176.85996840000001</v>
      </c>
      <c r="J689" t="s">
        <v>37</v>
      </c>
      <c r="K689">
        <v>2925.2464329999998</v>
      </c>
      <c r="L689" t="s">
        <v>464</v>
      </c>
      <c r="M689" t="str">
        <f t="shared" si="28"/>
        <v>controlindustrial</v>
      </c>
      <c r="N689" t="s">
        <v>28</v>
      </c>
      <c r="O689" t="s">
        <v>538</v>
      </c>
      <c r="P689" t="s">
        <v>630</v>
      </c>
      <c r="Q689" t="s">
        <v>16</v>
      </c>
    </row>
    <row r="690" spans="1:17" x14ac:dyDescent="0.2">
      <c r="A690" t="s">
        <v>633</v>
      </c>
      <c r="B690">
        <v>0.14575312500000001</v>
      </c>
      <c r="C690">
        <v>9.5504382917509609</v>
      </c>
      <c r="D690">
        <v>0.88429984182879273</v>
      </c>
      <c r="E690">
        <f t="shared" si="30"/>
        <v>176.85996836575853</v>
      </c>
      <c r="F690" t="s">
        <v>19</v>
      </c>
      <c r="G690" t="s">
        <v>41</v>
      </c>
      <c r="H690" t="s">
        <v>16</v>
      </c>
      <c r="I690" t="s">
        <v>16</v>
      </c>
      <c r="J690" t="s">
        <v>16</v>
      </c>
      <c r="K690" t="s">
        <v>16</v>
      </c>
      <c r="L690" t="s">
        <v>464</v>
      </c>
      <c r="M690" t="str">
        <f t="shared" si="28"/>
        <v>challengedindustrial</v>
      </c>
      <c r="N690" t="s">
        <v>28</v>
      </c>
      <c r="O690" t="s">
        <v>538</v>
      </c>
      <c r="P690" t="s">
        <v>630</v>
      </c>
      <c r="Q690">
        <f>E690</f>
        <v>176.85996836575853</v>
      </c>
    </row>
    <row r="691" spans="1:17" x14ac:dyDescent="0.2">
      <c r="A691" t="s">
        <v>634</v>
      </c>
      <c r="B691" t="s">
        <v>16</v>
      </c>
      <c r="C691" t="s">
        <v>16</v>
      </c>
      <c r="D691" t="s">
        <v>16</v>
      </c>
      <c r="E691" t="s">
        <v>16</v>
      </c>
      <c r="F691" t="s">
        <v>26</v>
      </c>
      <c r="G691" t="s">
        <v>26</v>
      </c>
      <c r="H691" t="s">
        <v>16</v>
      </c>
      <c r="I691" t="s">
        <v>16</v>
      </c>
      <c r="J691" t="s">
        <v>16</v>
      </c>
      <c r="K691" t="s">
        <v>16</v>
      </c>
      <c r="L691" t="s">
        <v>464</v>
      </c>
      <c r="M691" t="str">
        <f t="shared" si="28"/>
        <v>fecalindustrial</v>
      </c>
      <c r="N691" t="s">
        <v>28</v>
      </c>
      <c r="O691" t="s">
        <v>538</v>
      </c>
      <c r="P691" t="s">
        <v>635</v>
      </c>
      <c r="Q691" t="s">
        <v>16</v>
      </c>
    </row>
    <row r="692" spans="1:17" x14ac:dyDescent="0.2">
      <c r="A692" t="s">
        <v>636</v>
      </c>
      <c r="B692">
        <v>0.129512033</v>
      </c>
      <c r="C692">
        <v>180.98324959999999</v>
      </c>
      <c r="D692">
        <v>16.757708300000001</v>
      </c>
      <c r="E692">
        <v>3351.541659</v>
      </c>
      <c r="F692" t="s">
        <v>19</v>
      </c>
      <c r="G692" t="s">
        <v>32</v>
      </c>
      <c r="H692" t="s">
        <v>16</v>
      </c>
      <c r="I692" t="s">
        <v>16</v>
      </c>
      <c r="J692" t="s">
        <v>16</v>
      </c>
      <c r="K692" t="s">
        <v>16</v>
      </c>
      <c r="L692" t="s">
        <v>464</v>
      </c>
      <c r="M692" t="str">
        <f t="shared" si="28"/>
        <v>abx_challengedindustrial</v>
      </c>
      <c r="N692" t="s">
        <v>28</v>
      </c>
      <c r="O692" t="s">
        <v>538</v>
      </c>
      <c r="P692" t="s">
        <v>635</v>
      </c>
      <c r="Q692">
        <v>16.757708300000001</v>
      </c>
    </row>
    <row r="693" spans="1:17" x14ac:dyDescent="0.2">
      <c r="A693" t="s">
        <v>1096</v>
      </c>
      <c r="B693">
        <v>0.13031863799999999</v>
      </c>
      <c r="C693">
        <v>36923441.109999999</v>
      </c>
      <c r="D693">
        <v>73846.882209999996</v>
      </c>
      <c r="E693">
        <v>14769376.439999999</v>
      </c>
      <c r="F693" t="s">
        <v>33</v>
      </c>
      <c r="G693" t="s">
        <v>32</v>
      </c>
      <c r="H693" t="s">
        <v>16</v>
      </c>
      <c r="I693" t="s">
        <v>16</v>
      </c>
      <c r="J693" t="s">
        <v>16</v>
      </c>
      <c r="K693" t="s">
        <v>16</v>
      </c>
      <c r="L693" t="s">
        <v>464</v>
      </c>
      <c r="M693" t="str">
        <f t="shared" si="28"/>
        <v>abx_challengedindustrial</v>
      </c>
      <c r="N693" t="s">
        <v>28</v>
      </c>
      <c r="O693" t="s">
        <v>538</v>
      </c>
      <c r="P693" t="s">
        <v>635</v>
      </c>
      <c r="Q693">
        <v>73846.882209999996</v>
      </c>
    </row>
    <row r="694" spans="1:17" x14ac:dyDescent="0.2">
      <c r="A694" t="s">
        <v>637</v>
      </c>
      <c r="B694">
        <v>0.197207562</v>
      </c>
      <c r="C694">
        <v>8641803.8739999998</v>
      </c>
      <c r="D694">
        <v>51850.823250000001</v>
      </c>
      <c r="E694">
        <v>10370164.65</v>
      </c>
      <c r="F694" t="s">
        <v>17</v>
      </c>
      <c r="G694" t="s">
        <v>32</v>
      </c>
      <c r="H694" t="s">
        <v>16</v>
      </c>
      <c r="I694" t="s">
        <v>16</v>
      </c>
      <c r="J694" t="s">
        <v>16</v>
      </c>
      <c r="K694" t="s">
        <v>16</v>
      </c>
      <c r="L694" t="s">
        <v>464</v>
      </c>
      <c r="M694" t="str">
        <f t="shared" si="28"/>
        <v>abx_challengedindustrial</v>
      </c>
      <c r="N694" t="s">
        <v>28</v>
      </c>
      <c r="O694" t="s">
        <v>538</v>
      </c>
      <c r="P694" t="s">
        <v>635</v>
      </c>
      <c r="Q694">
        <v>51850.823250000001</v>
      </c>
    </row>
    <row r="695" spans="1:17" x14ac:dyDescent="0.2">
      <c r="A695" t="s">
        <v>638</v>
      </c>
      <c r="B695" s="1">
        <v>0</v>
      </c>
      <c r="C695" t="s">
        <v>16</v>
      </c>
      <c r="D695">
        <v>0</v>
      </c>
      <c r="E695">
        <v>0</v>
      </c>
      <c r="F695" t="s">
        <v>19</v>
      </c>
      <c r="G695" t="s">
        <v>36</v>
      </c>
      <c r="H695" t="s">
        <v>37</v>
      </c>
      <c r="I695">
        <v>8096.7693440000003</v>
      </c>
      <c r="J695" t="s">
        <v>37</v>
      </c>
      <c r="K695">
        <v>3351.541659</v>
      </c>
      <c r="L695" t="s">
        <v>464</v>
      </c>
      <c r="M695" t="str">
        <f t="shared" si="28"/>
        <v>controlindustrial</v>
      </c>
      <c r="N695" t="s">
        <v>28</v>
      </c>
      <c r="O695" t="s">
        <v>538</v>
      </c>
      <c r="P695" t="s">
        <v>635</v>
      </c>
      <c r="Q695" t="s">
        <v>16</v>
      </c>
    </row>
    <row r="696" spans="1:17" x14ac:dyDescent="0.2">
      <c r="A696" t="s">
        <v>1097</v>
      </c>
      <c r="B696" s="1">
        <v>0</v>
      </c>
      <c r="C696">
        <v>117343631.8</v>
      </c>
      <c r="D696">
        <v>7040617.9079999998</v>
      </c>
      <c r="E696">
        <v>1408123582</v>
      </c>
      <c r="F696" t="s">
        <v>33</v>
      </c>
      <c r="G696" t="s">
        <v>36</v>
      </c>
      <c r="H696" t="s">
        <v>38</v>
      </c>
      <c r="I696">
        <v>96924442.299999997</v>
      </c>
      <c r="J696" t="s">
        <v>38</v>
      </c>
      <c r="K696">
        <v>14769376.439999999</v>
      </c>
      <c r="L696" t="s">
        <v>464</v>
      </c>
      <c r="M696" t="str">
        <f t="shared" si="28"/>
        <v>controlindustrial</v>
      </c>
      <c r="N696" t="s">
        <v>28</v>
      </c>
      <c r="O696" t="s">
        <v>538</v>
      </c>
      <c r="P696" t="s">
        <v>635</v>
      </c>
      <c r="Q696" t="s">
        <v>16</v>
      </c>
    </row>
    <row r="697" spans="1:17" x14ac:dyDescent="0.2">
      <c r="A697" t="s">
        <v>639</v>
      </c>
      <c r="B697" s="1">
        <v>0</v>
      </c>
      <c r="C697" t="s">
        <v>16</v>
      </c>
      <c r="D697">
        <v>0</v>
      </c>
      <c r="E697">
        <v>0</v>
      </c>
      <c r="F697" t="s">
        <v>17</v>
      </c>
      <c r="G697" t="s">
        <v>36</v>
      </c>
      <c r="H697" t="s">
        <v>38</v>
      </c>
      <c r="I697">
        <v>428163360.5</v>
      </c>
      <c r="J697" t="s">
        <v>38</v>
      </c>
      <c r="K697">
        <v>10370164.65</v>
      </c>
      <c r="L697" t="s">
        <v>464</v>
      </c>
      <c r="M697" t="str">
        <f t="shared" si="28"/>
        <v>controlindustrial</v>
      </c>
      <c r="N697" t="s">
        <v>28</v>
      </c>
      <c r="O697" t="s">
        <v>538</v>
      </c>
      <c r="P697" t="s">
        <v>635</v>
      </c>
      <c r="Q697" t="s">
        <v>16</v>
      </c>
    </row>
    <row r="698" spans="1:17" x14ac:dyDescent="0.2">
      <c r="A698" t="s">
        <v>640</v>
      </c>
      <c r="B698" t="s">
        <v>16</v>
      </c>
      <c r="C698">
        <v>437.22554459999998</v>
      </c>
      <c r="D698">
        <v>40.483846720000003</v>
      </c>
      <c r="E698">
        <v>8096.7693440000003</v>
      </c>
      <c r="F698" t="s">
        <v>19</v>
      </c>
      <c r="G698" t="s">
        <v>41</v>
      </c>
      <c r="H698" t="s">
        <v>16</v>
      </c>
      <c r="I698" t="s">
        <v>16</v>
      </c>
      <c r="J698" t="s">
        <v>16</v>
      </c>
      <c r="K698" t="s">
        <v>16</v>
      </c>
      <c r="L698" t="s">
        <v>464</v>
      </c>
      <c r="M698" t="str">
        <f t="shared" si="28"/>
        <v>challengedindustrial</v>
      </c>
      <c r="N698" t="s">
        <v>28</v>
      </c>
      <c r="O698" t="s">
        <v>538</v>
      </c>
      <c r="P698" t="s">
        <v>635</v>
      </c>
      <c r="Q698">
        <v>40.483846720000003</v>
      </c>
    </row>
    <row r="699" spans="1:17" x14ac:dyDescent="0.2">
      <c r="A699" t="s">
        <v>1098</v>
      </c>
      <c r="B699">
        <v>8.6037105000000003E-2</v>
      </c>
      <c r="C699">
        <v>8077036.8590000002</v>
      </c>
      <c r="D699">
        <v>484622.21149999998</v>
      </c>
      <c r="E699">
        <v>96924442.299999997</v>
      </c>
      <c r="F699" t="s">
        <v>33</v>
      </c>
      <c r="G699" t="s">
        <v>41</v>
      </c>
      <c r="H699" t="s">
        <v>16</v>
      </c>
      <c r="I699" t="s">
        <v>16</v>
      </c>
      <c r="J699" t="s">
        <v>16</v>
      </c>
      <c r="K699" t="s">
        <v>16</v>
      </c>
      <c r="L699" t="s">
        <v>464</v>
      </c>
      <c r="M699" t="str">
        <f t="shared" si="28"/>
        <v>challengedindustrial</v>
      </c>
      <c r="N699" t="s">
        <v>28</v>
      </c>
      <c r="O699" t="s">
        <v>538</v>
      </c>
      <c r="P699" t="s">
        <v>635</v>
      </c>
      <c r="Q699">
        <v>-1656194.591</v>
      </c>
    </row>
    <row r="700" spans="1:17" x14ac:dyDescent="0.2">
      <c r="A700" t="s">
        <v>641</v>
      </c>
      <c r="B700">
        <v>0.171817994</v>
      </c>
      <c r="C700">
        <v>35680280.039999999</v>
      </c>
      <c r="D700">
        <v>2140816.8029999998</v>
      </c>
      <c r="E700">
        <v>428163360.5</v>
      </c>
      <c r="F700" t="s">
        <v>17</v>
      </c>
      <c r="G700" t="s">
        <v>41</v>
      </c>
      <c r="H700" t="s">
        <v>16</v>
      </c>
      <c r="I700" t="s">
        <v>16</v>
      </c>
      <c r="J700" t="s">
        <v>16</v>
      </c>
      <c r="K700" t="s">
        <v>16</v>
      </c>
      <c r="L700" t="s">
        <v>464</v>
      </c>
      <c r="M700" t="str">
        <f t="shared" si="28"/>
        <v>challengedindustrial</v>
      </c>
      <c r="N700" t="s">
        <v>28</v>
      </c>
      <c r="O700" t="s">
        <v>538</v>
      </c>
      <c r="P700" t="s">
        <v>635</v>
      </c>
      <c r="Q700">
        <v>2140816.8029999998</v>
      </c>
    </row>
    <row r="701" spans="1:17" x14ac:dyDescent="0.2">
      <c r="A701" t="s">
        <v>642</v>
      </c>
      <c r="B701" t="s">
        <v>16</v>
      </c>
      <c r="C701" t="s">
        <v>16</v>
      </c>
      <c r="D701" t="s">
        <v>16</v>
      </c>
      <c r="E701" t="s">
        <v>16</v>
      </c>
      <c r="F701" t="s">
        <v>26</v>
      </c>
      <c r="G701" t="s">
        <v>26</v>
      </c>
      <c r="H701" t="s">
        <v>16</v>
      </c>
      <c r="I701" t="s">
        <v>16</v>
      </c>
      <c r="J701" t="s">
        <v>16</v>
      </c>
      <c r="K701" t="s">
        <v>16</v>
      </c>
      <c r="L701" t="s">
        <v>464</v>
      </c>
      <c r="M701" t="str">
        <f t="shared" si="28"/>
        <v>fecalindustrial</v>
      </c>
      <c r="N701" t="s">
        <v>28</v>
      </c>
      <c r="O701" t="s">
        <v>538</v>
      </c>
      <c r="P701" t="s">
        <v>643</v>
      </c>
      <c r="Q701" t="s">
        <v>16</v>
      </c>
    </row>
    <row r="702" spans="1:17" x14ac:dyDescent="0.2">
      <c r="A702" t="s">
        <v>644</v>
      </c>
      <c r="B702" t="s">
        <v>16</v>
      </c>
      <c r="C702" t="s">
        <v>16</v>
      </c>
      <c r="D702">
        <v>0</v>
      </c>
      <c r="E702">
        <v>0</v>
      </c>
      <c r="F702" t="s">
        <v>19</v>
      </c>
      <c r="G702" t="s">
        <v>91</v>
      </c>
      <c r="H702" t="s">
        <v>16</v>
      </c>
      <c r="I702" t="s">
        <v>16</v>
      </c>
      <c r="J702" t="s">
        <v>16</v>
      </c>
      <c r="K702" t="s">
        <v>16</v>
      </c>
      <c r="L702" t="s">
        <v>464</v>
      </c>
      <c r="M702" t="str">
        <f t="shared" si="28"/>
        <v>ABXindustrial</v>
      </c>
      <c r="N702" t="s">
        <v>28</v>
      </c>
      <c r="O702" t="s">
        <v>538</v>
      </c>
      <c r="P702" t="s">
        <v>645</v>
      </c>
      <c r="Q702">
        <v>0</v>
      </c>
    </row>
    <row r="703" spans="1:17" x14ac:dyDescent="0.2">
      <c r="A703" t="s">
        <v>646</v>
      </c>
      <c r="B703">
        <v>0.158849405</v>
      </c>
      <c r="C703">
        <v>1142.799565</v>
      </c>
      <c r="D703">
        <v>105.8147745</v>
      </c>
      <c r="E703">
        <v>21162.954900000001</v>
      </c>
      <c r="F703" t="s">
        <v>19</v>
      </c>
      <c r="G703" t="s">
        <v>32</v>
      </c>
      <c r="H703" t="s">
        <v>16</v>
      </c>
      <c r="I703" t="s">
        <v>16</v>
      </c>
      <c r="J703" t="s">
        <v>16</v>
      </c>
      <c r="K703" t="s">
        <v>16</v>
      </c>
      <c r="L703" t="s">
        <v>464</v>
      </c>
      <c r="M703" t="str">
        <f t="shared" si="28"/>
        <v>abx_challengedindustrial</v>
      </c>
      <c r="N703" t="s">
        <v>28</v>
      </c>
      <c r="O703" t="s">
        <v>538</v>
      </c>
      <c r="P703" t="s">
        <v>643</v>
      </c>
      <c r="Q703">
        <v>105.8147745</v>
      </c>
    </row>
    <row r="704" spans="1:17" x14ac:dyDescent="0.2">
      <c r="A704" t="s">
        <v>1099</v>
      </c>
      <c r="B704">
        <v>0.118797551</v>
      </c>
      <c r="C704">
        <v>22688358.609999999</v>
      </c>
      <c r="D704">
        <v>45376.717219999999</v>
      </c>
      <c r="E704">
        <v>9075343.4440000001</v>
      </c>
      <c r="F704" t="s">
        <v>33</v>
      </c>
      <c r="G704" t="s">
        <v>32</v>
      </c>
      <c r="H704" t="s">
        <v>16</v>
      </c>
      <c r="I704" t="s">
        <v>16</v>
      </c>
      <c r="J704" t="s">
        <v>16</v>
      </c>
      <c r="K704" t="s">
        <v>16</v>
      </c>
      <c r="L704" t="s">
        <v>464</v>
      </c>
      <c r="M704" t="str">
        <f t="shared" si="28"/>
        <v>abx_challengedindustrial</v>
      </c>
      <c r="N704" t="s">
        <v>28</v>
      </c>
      <c r="O704" t="s">
        <v>538</v>
      </c>
      <c r="P704" t="s">
        <v>643</v>
      </c>
      <c r="Q704">
        <v>45376.717219999999</v>
      </c>
    </row>
    <row r="705" spans="1:17" x14ac:dyDescent="0.2">
      <c r="A705" t="s">
        <v>647</v>
      </c>
      <c r="B705">
        <v>0.227248266</v>
      </c>
      <c r="C705">
        <v>6595484.6529999999</v>
      </c>
      <c r="D705">
        <v>39572.907919999998</v>
      </c>
      <c r="E705">
        <v>7914581.5829999996</v>
      </c>
      <c r="F705" t="s">
        <v>17</v>
      </c>
      <c r="G705" t="s">
        <v>32</v>
      </c>
      <c r="H705" t="s">
        <v>16</v>
      </c>
      <c r="I705" t="s">
        <v>16</v>
      </c>
      <c r="J705" t="s">
        <v>16</v>
      </c>
      <c r="K705" t="s">
        <v>16</v>
      </c>
      <c r="L705" t="s">
        <v>464</v>
      </c>
      <c r="M705" t="str">
        <f t="shared" si="28"/>
        <v>abx_challengedindustrial</v>
      </c>
      <c r="N705" t="s">
        <v>28</v>
      </c>
      <c r="O705" t="s">
        <v>538</v>
      </c>
      <c r="P705" t="s">
        <v>643</v>
      </c>
      <c r="Q705">
        <v>39572.907919999998</v>
      </c>
    </row>
    <row r="706" spans="1:17" x14ac:dyDescent="0.2">
      <c r="A706" t="s">
        <v>648</v>
      </c>
      <c r="B706" s="1">
        <v>0</v>
      </c>
      <c r="C706" t="s">
        <v>16</v>
      </c>
      <c r="D706">
        <v>0</v>
      </c>
      <c r="E706">
        <v>0</v>
      </c>
      <c r="F706" t="s">
        <v>19</v>
      </c>
      <c r="G706" t="s">
        <v>36</v>
      </c>
      <c r="H706" t="s">
        <v>37</v>
      </c>
      <c r="I706">
        <v>37372.415560000001</v>
      </c>
      <c r="J706" t="s">
        <v>37</v>
      </c>
      <c r="K706">
        <v>21162.954900000001</v>
      </c>
      <c r="L706" t="s">
        <v>464</v>
      </c>
      <c r="M706" t="str">
        <f t="shared" si="28"/>
        <v>controlindustrial</v>
      </c>
      <c r="N706" t="s">
        <v>28</v>
      </c>
      <c r="O706" t="s">
        <v>538</v>
      </c>
      <c r="P706" t="s">
        <v>643</v>
      </c>
      <c r="Q706" t="s">
        <v>16</v>
      </c>
    </row>
    <row r="707" spans="1:17" x14ac:dyDescent="0.2">
      <c r="A707" t="s">
        <v>1100</v>
      </c>
      <c r="B707" s="1">
        <v>0</v>
      </c>
      <c r="C707">
        <v>1401658571</v>
      </c>
      <c r="D707">
        <v>84099514.260000005</v>
      </c>
      <c r="E707">
        <v>16819902852</v>
      </c>
      <c r="F707" t="s">
        <v>33</v>
      </c>
      <c r="G707" t="s">
        <v>36</v>
      </c>
      <c r="H707" t="s">
        <v>38</v>
      </c>
      <c r="I707">
        <v>46049208.380000003</v>
      </c>
      <c r="J707" t="s">
        <v>38</v>
      </c>
      <c r="K707">
        <v>9075343.4440000001</v>
      </c>
      <c r="L707" t="s">
        <v>464</v>
      </c>
      <c r="M707" t="str">
        <f t="shared" si="28"/>
        <v>controlindustrial</v>
      </c>
      <c r="N707" t="s">
        <v>28</v>
      </c>
      <c r="O707" t="s">
        <v>538</v>
      </c>
      <c r="P707" t="s">
        <v>643</v>
      </c>
      <c r="Q707" t="s">
        <v>16</v>
      </c>
    </row>
    <row r="708" spans="1:17" x14ac:dyDescent="0.2">
      <c r="A708" t="s">
        <v>649</v>
      </c>
      <c r="B708" s="1">
        <v>0</v>
      </c>
      <c r="C708" t="s">
        <v>16</v>
      </c>
      <c r="D708">
        <v>0</v>
      </c>
      <c r="E708">
        <v>0</v>
      </c>
      <c r="F708" t="s">
        <v>17</v>
      </c>
      <c r="G708" t="s">
        <v>36</v>
      </c>
      <c r="H708" t="s">
        <v>38</v>
      </c>
      <c r="I708">
        <v>114981526.2</v>
      </c>
      <c r="J708" t="s">
        <v>38</v>
      </c>
      <c r="K708">
        <v>7914581.5829999996</v>
      </c>
      <c r="L708" t="s">
        <v>464</v>
      </c>
      <c r="M708" t="str">
        <f t="shared" si="28"/>
        <v>controlindustrial</v>
      </c>
      <c r="N708" t="s">
        <v>28</v>
      </c>
      <c r="O708" t="s">
        <v>538</v>
      </c>
      <c r="P708" t="s">
        <v>643</v>
      </c>
      <c r="Q708" t="s">
        <v>16</v>
      </c>
    </row>
    <row r="709" spans="1:17" x14ac:dyDescent="0.2">
      <c r="A709" t="s">
        <v>650</v>
      </c>
      <c r="B709">
        <v>7.6707861000000002E-2</v>
      </c>
      <c r="C709">
        <v>2018.1104399999999</v>
      </c>
      <c r="D709">
        <v>186.86207780000001</v>
      </c>
      <c r="E709">
        <v>37372.415560000001</v>
      </c>
      <c r="F709" t="s">
        <v>19</v>
      </c>
      <c r="G709" t="s">
        <v>41</v>
      </c>
      <c r="H709" t="s">
        <v>16</v>
      </c>
      <c r="I709" t="s">
        <v>16</v>
      </c>
      <c r="J709" t="s">
        <v>16</v>
      </c>
      <c r="K709" t="s">
        <v>16</v>
      </c>
      <c r="L709" t="s">
        <v>464</v>
      </c>
      <c r="M709" t="str">
        <f t="shared" si="28"/>
        <v>challengedindustrial</v>
      </c>
      <c r="N709" t="s">
        <v>28</v>
      </c>
      <c r="O709" t="s">
        <v>538</v>
      </c>
      <c r="P709" t="s">
        <v>643</v>
      </c>
      <c r="Q709">
        <v>186.86207780000001</v>
      </c>
    </row>
    <row r="710" spans="1:17" x14ac:dyDescent="0.2">
      <c r="A710" t="s">
        <v>1101</v>
      </c>
      <c r="B710">
        <v>0.11561046799999999</v>
      </c>
      <c r="C710">
        <v>3837434.0320000001</v>
      </c>
      <c r="D710">
        <v>230246.04190000001</v>
      </c>
      <c r="E710">
        <v>46049208.380000003</v>
      </c>
      <c r="F710" t="s">
        <v>33</v>
      </c>
      <c r="G710" t="s">
        <v>41</v>
      </c>
      <c r="H710" t="s">
        <v>16</v>
      </c>
      <c r="I710" t="s">
        <v>16</v>
      </c>
      <c r="J710" t="s">
        <v>16</v>
      </c>
      <c r="K710" t="s">
        <v>16</v>
      </c>
      <c r="L710" t="s">
        <v>464</v>
      </c>
      <c r="M710" t="str">
        <f t="shared" si="28"/>
        <v>challengedindustrial</v>
      </c>
      <c r="N710" t="s">
        <v>28</v>
      </c>
      <c r="O710" t="s">
        <v>538</v>
      </c>
      <c r="P710" t="s">
        <v>643</v>
      </c>
      <c r="Q710">
        <v>-344661.58919999999</v>
      </c>
    </row>
    <row r="711" spans="1:17" x14ac:dyDescent="0.2">
      <c r="A711" t="s">
        <v>651</v>
      </c>
      <c r="B711">
        <v>8.1819034999999998E-2</v>
      </c>
      <c r="C711">
        <v>9581793.8509999998</v>
      </c>
      <c r="D711">
        <v>574907.6311</v>
      </c>
      <c r="E711">
        <v>114981526.2</v>
      </c>
      <c r="F711" t="s">
        <v>17</v>
      </c>
      <c r="G711" t="s">
        <v>41</v>
      </c>
      <c r="H711" t="s">
        <v>16</v>
      </c>
      <c r="I711" t="s">
        <v>16</v>
      </c>
      <c r="J711" t="s">
        <v>16</v>
      </c>
      <c r="K711" t="s">
        <v>16</v>
      </c>
      <c r="L711" t="s">
        <v>464</v>
      </c>
      <c r="M711" t="str">
        <f t="shared" si="28"/>
        <v>challengedindustrial</v>
      </c>
      <c r="N711" t="s">
        <v>28</v>
      </c>
      <c r="O711" t="s">
        <v>538</v>
      </c>
      <c r="P711" t="s">
        <v>643</v>
      </c>
      <c r="Q711">
        <v>574907.6311</v>
      </c>
    </row>
    <row r="712" spans="1:17" x14ac:dyDescent="0.2">
      <c r="A712" t="s">
        <v>652</v>
      </c>
      <c r="B712">
        <v>0.15158368799999999</v>
      </c>
      <c r="C712">
        <v>292.38310430000001</v>
      </c>
      <c r="D712">
        <v>27.072509650000001</v>
      </c>
      <c r="E712">
        <v>5414.5019309999998</v>
      </c>
      <c r="F712" t="s">
        <v>19</v>
      </c>
      <c r="G712" t="s">
        <v>32</v>
      </c>
      <c r="H712" t="s">
        <v>16</v>
      </c>
      <c r="I712" t="s">
        <v>16</v>
      </c>
      <c r="J712" t="s">
        <v>16</v>
      </c>
      <c r="K712" t="s">
        <v>16</v>
      </c>
      <c r="L712" t="s">
        <v>464</v>
      </c>
      <c r="M712" t="str">
        <f t="shared" si="28"/>
        <v>abx_challengedindustrial</v>
      </c>
      <c r="N712" t="s">
        <v>28</v>
      </c>
      <c r="O712" t="s">
        <v>538</v>
      </c>
      <c r="P712" t="s">
        <v>645</v>
      </c>
      <c r="Q712">
        <v>27.072509650000001</v>
      </c>
    </row>
    <row r="713" spans="1:17" x14ac:dyDescent="0.2">
      <c r="A713" t="s">
        <v>1102</v>
      </c>
      <c r="B713">
        <v>0.14243567800000001</v>
      </c>
      <c r="C713">
        <v>47394790.880000003</v>
      </c>
      <c r="D713">
        <v>94789.581749999998</v>
      </c>
      <c r="E713">
        <v>18957916.350000001</v>
      </c>
      <c r="F713" t="s">
        <v>33</v>
      </c>
      <c r="G713" t="s">
        <v>32</v>
      </c>
      <c r="H713" t="s">
        <v>16</v>
      </c>
      <c r="I713" t="s">
        <v>16</v>
      </c>
      <c r="J713" t="s">
        <v>16</v>
      </c>
      <c r="K713" t="s">
        <v>16</v>
      </c>
      <c r="L713" t="s">
        <v>464</v>
      </c>
      <c r="M713" t="str">
        <f t="shared" si="28"/>
        <v>abx_challengedindustrial</v>
      </c>
      <c r="N713" t="s">
        <v>28</v>
      </c>
      <c r="O713" t="s">
        <v>538</v>
      </c>
      <c r="P713" t="s">
        <v>645</v>
      </c>
      <c r="Q713">
        <v>45444.999320000003</v>
      </c>
    </row>
    <row r="714" spans="1:17" x14ac:dyDescent="0.2">
      <c r="A714" t="s">
        <v>653</v>
      </c>
      <c r="B714">
        <v>0.19565927299999999</v>
      </c>
      <c r="C714">
        <v>8224097.0719999997</v>
      </c>
      <c r="D714">
        <v>49344.582430000002</v>
      </c>
      <c r="E714">
        <v>9868916.4859999996</v>
      </c>
      <c r="F714" t="s">
        <v>17</v>
      </c>
      <c r="G714" t="s">
        <v>32</v>
      </c>
      <c r="H714" t="s">
        <v>16</v>
      </c>
      <c r="I714" t="s">
        <v>16</v>
      </c>
      <c r="J714" t="s">
        <v>16</v>
      </c>
      <c r="K714" t="s">
        <v>16</v>
      </c>
      <c r="L714" t="s">
        <v>464</v>
      </c>
      <c r="M714" t="str">
        <f t="shared" ref="M714:M778" si="31">CONCATENATE(G714, L714)</f>
        <v>abx_challengedindustrial</v>
      </c>
      <c r="N714" t="s">
        <v>28</v>
      </c>
      <c r="O714" t="s">
        <v>538</v>
      </c>
      <c r="P714" t="s">
        <v>645</v>
      </c>
      <c r="Q714">
        <v>49344.582430000002</v>
      </c>
    </row>
    <row r="715" spans="1:17" x14ac:dyDescent="0.2">
      <c r="A715" t="s">
        <v>654</v>
      </c>
      <c r="B715" s="1">
        <v>0</v>
      </c>
      <c r="C715" t="s">
        <v>16</v>
      </c>
      <c r="D715">
        <v>0</v>
      </c>
      <c r="E715">
        <v>0</v>
      </c>
      <c r="F715" t="s">
        <v>19</v>
      </c>
      <c r="G715" t="s">
        <v>36</v>
      </c>
      <c r="H715" t="s">
        <v>37</v>
      </c>
      <c r="I715">
        <v>0</v>
      </c>
      <c r="J715" t="s">
        <v>37</v>
      </c>
      <c r="K715">
        <v>5414.5019309999998</v>
      </c>
      <c r="L715" t="s">
        <v>464</v>
      </c>
      <c r="M715" t="str">
        <f t="shared" si="31"/>
        <v>controlindustrial</v>
      </c>
      <c r="N715" t="s">
        <v>28</v>
      </c>
      <c r="O715" t="s">
        <v>538</v>
      </c>
      <c r="P715" t="s">
        <v>645</v>
      </c>
      <c r="Q715" t="s">
        <v>16</v>
      </c>
    </row>
    <row r="716" spans="1:17" x14ac:dyDescent="0.2">
      <c r="A716" t="s">
        <v>1103</v>
      </c>
      <c r="B716" s="1">
        <v>0</v>
      </c>
      <c r="C716">
        <v>2148191322</v>
      </c>
      <c r="D716">
        <v>128891479.3</v>
      </c>
      <c r="E716">
        <v>25778295862</v>
      </c>
      <c r="F716" t="s">
        <v>33</v>
      </c>
      <c r="G716" t="s">
        <v>36</v>
      </c>
      <c r="H716" t="s">
        <v>38</v>
      </c>
      <c r="I716">
        <v>2619125.7179999999</v>
      </c>
      <c r="J716" t="s">
        <v>38</v>
      </c>
      <c r="K716">
        <v>18957916.350000001</v>
      </c>
      <c r="L716" t="s">
        <v>464</v>
      </c>
      <c r="M716" t="str">
        <f t="shared" si="31"/>
        <v>controlindustrial</v>
      </c>
      <c r="N716" t="s">
        <v>28</v>
      </c>
      <c r="O716" t="s">
        <v>538</v>
      </c>
      <c r="P716" t="s">
        <v>645</v>
      </c>
      <c r="Q716" t="s">
        <v>16</v>
      </c>
    </row>
    <row r="717" spans="1:17" x14ac:dyDescent="0.2">
      <c r="A717" t="s">
        <v>655</v>
      </c>
      <c r="B717" s="1">
        <v>0</v>
      </c>
      <c r="C717">
        <v>2125.311146</v>
      </c>
      <c r="D717">
        <v>0</v>
      </c>
      <c r="E717">
        <v>0</v>
      </c>
      <c r="F717" t="s">
        <v>17</v>
      </c>
      <c r="G717" t="s">
        <v>36</v>
      </c>
      <c r="H717" t="s">
        <v>38</v>
      </c>
      <c r="I717">
        <v>167615505</v>
      </c>
      <c r="J717" t="s">
        <v>38</v>
      </c>
      <c r="K717">
        <v>9868916.4859999996</v>
      </c>
      <c r="L717" t="s">
        <v>464</v>
      </c>
      <c r="M717" t="str">
        <f t="shared" si="31"/>
        <v>controlindustrial</v>
      </c>
      <c r="N717" t="s">
        <v>28</v>
      </c>
      <c r="O717" t="s">
        <v>538</v>
      </c>
      <c r="P717" t="s">
        <v>645</v>
      </c>
      <c r="Q717" t="s">
        <v>16</v>
      </c>
    </row>
    <row r="718" spans="1:17" x14ac:dyDescent="0.2">
      <c r="A718" t="s">
        <v>1104</v>
      </c>
      <c r="B718">
        <v>0.11555662</v>
      </c>
      <c r="C718">
        <v>218260.47649999999</v>
      </c>
      <c r="D718">
        <v>13095.62859</v>
      </c>
      <c r="E718">
        <v>2619125.7179999999</v>
      </c>
      <c r="F718" t="s">
        <v>33</v>
      </c>
      <c r="G718" t="s">
        <v>41</v>
      </c>
      <c r="H718" t="s">
        <v>16</v>
      </c>
      <c r="I718" t="s">
        <v>16</v>
      </c>
      <c r="J718" t="s">
        <v>16</v>
      </c>
      <c r="K718" t="s">
        <v>16</v>
      </c>
      <c r="L718" t="s">
        <v>464</v>
      </c>
      <c r="M718" t="str">
        <f t="shared" si="31"/>
        <v>challengedindustrial</v>
      </c>
      <c r="N718" t="s">
        <v>28</v>
      </c>
      <c r="O718" t="s">
        <v>538</v>
      </c>
      <c r="P718" t="s">
        <v>645</v>
      </c>
      <c r="Q718">
        <v>-25775676737</v>
      </c>
    </row>
    <row r="719" spans="1:17" x14ac:dyDescent="0.2">
      <c r="A719" t="s">
        <v>656</v>
      </c>
      <c r="B719">
        <v>0.125305367</v>
      </c>
      <c r="C719">
        <v>13967958.75</v>
      </c>
      <c r="D719">
        <v>838077.52480000001</v>
      </c>
      <c r="E719">
        <v>167615505</v>
      </c>
      <c r="F719" t="s">
        <v>17</v>
      </c>
      <c r="G719" t="s">
        <v>41</v>
      </c>
      <c r="H719" t="s">
        <v>16</v>
      </c>
      <c r="I719" t="s">
        <v>16</v>
      </c>
      <c r="J719" t="s">
        <v>16</v>
      </c>
      <c r="K719" t="s">
        <v>16</v>
      </c>
      <c r="L719" t="s">
        <v>464</v>
      </c>
      <c r="M719" t="str">
        <f t="shared" si="31"/>
        <v>challengedindustrial</v>
      </c>
      <c r="N719" t="s">
        <v>28</v>
      </c>
      <c r="O719" t="s">
        <v>538</v>
      </c>
      <c r="P719" t="s">
        <v>645</v>
      </c>
      <c r="Q719">
        <v>838077.52480000001</v>
      </c>
    </row>
    <row r="720" spans="1:17" x14ac:dyDescent="0.2">
      <c r="A720" t="s">
        <v>657</v>
      </c>
      <c r="B720" t="s">
        <v>16</v>
      </c>
      <c r="C720" t="s">
        <v>16</v>
      </c>
      <c r="D720" t="s">
        <v>16</v>
      </c>
      <c r="E720" t="s">
        <v>16</v>
      </c>
      <c r="F720" t="s">
        <v>26</v>
      </c>
      <c r="G720" t="s">
        <v>26</v>
      </c>
      <c r="H720" t="s">
        <v>16</v>
      </c>
      <c r="I720" t="s">
        <v>16</v>
      </c>
      <c r="J720" t="s">
        <v>16</v>
      </c>
      <c r="K720" t="s">
        <v>16</v>
      </c>
      <c r="L720" t="s">
        <v>464</v>
      </c>
      <c r="M720" t="str">
        <f t="shared" si="31"/>
        <v>fecalindustrial</v>
      </c>
      <c r="N720" t="s">
        <v>28</v>
      </c>
      <c r="O720" t="s">
        <v>538</v>
      </c>
      <c r="P720" t="s">
        <v>658</v>
      </c>
      <c r="Q720" t="s">
        <v>16</v>
      </c>
    </row>
    <row r="721" spans="1:17" x14ac:dyDescent="0.2">
      <c r="A721" t="s">
        <v>659</v>
      </c>
      <c r="B721">
        <v>0.111476299</v>
      </c>
      <c r="C721">
        <v>106.10202762245559</v>
      </c>
      <c r="D721">
        <v>9.8242618168940368</v>
      </c>
      <c r="E721">
        <f>D721*200</f>
        <v>1964.8523633788072</v>
      </c>
      <c r="F721" t="s">
        <v>19</v>
      </c>
      <c r="G721" t="s">
        <v>32</v>
      </c>
      <c r="H721" t="s">
        <v>16</v>
      </c>
      <c r="I721" t="s">
        <v>16</v>
      </c>
      <c r="J721" t="s">
        <v>16</v>
      </c>
      <c r="K721" t="s">
        <v>16</v>
      </c>
      <c r="L721" t="s">
        <v>464</v>
      </c>
      <c r="M721" t="str">
        <f t="shared" si="31"/>
        <v>abx_challengedindustrial</v>
      </c>
      <c r="N721" t="s">
        <v>28</v>
      </c>
      <c r="O721" t="s">
        <v>538</v>
      </c>
      <c r="P721" t="s">
        <v>658</v>
      </c>
      <c r="Q721">
        <v>1964.852363</v>
      </c>
    </row>
    <row r="722" spans="1:17" x14ac:dyDescent="0.2">
      <c r="A722" t="s">
        <v>660</v>
      </c>
      <c r="B722">
        <v>0</v>
      </c>
      <c r="C722" t="s">
        <v>16</v>
      </c>
      <c r="D722">
        <v>0</v>
      </c>
      <c r="E722">
        <f t="shared" ref="E722:E726" si="32">D722*200</f>
        <v>0</v>
      </c>
      <c r="F722" t="s">
        <v>19</v>
      </c>
      <c r="G722" t="s">
        <v>36</v>
      </c>
      <c r="H722" t="s">
        <v>37</v>
      </c>
      <c r="I722">
        <v>1071.914076</v>
      </c>
      <c r="J722" t="s">
        <v>37</v>
      </c>
      <c r="K722">
        <v>1964.852363</v>
      </c>
      <c r="L722" t="s">
        <v>464</v>
      </c>
      <c r="M722" t="str">
        <f t="shared" si="31"/>
        <v>controlindustrial</v>
      </c>
      <c r="N722" t="s">
        <v>28</v>
      </c>
      <c r="O722" t="s">
        <v>538</v>
      </c>
      <c r="P722" t="s">
        <v>658</v>
      </c>
      <c r="Q722" t="s">
        <v>16</v>
      </c>
    </row>
    <row r="723" spans="1:17" x14ac:dyDescent="0.2">
      <c r="A723" t="s">
        <v>661</v>
      </c>
      <c r="B723">
        <v>0.116667311</v>
      </c>
      <c r="C723">
        <v>57.883360099427072</v>
      </c>
      <c r="D723">
        <v>5.3595703795765806</v>
      </c>
      <c r="E723">
        <f t="shared" si="32"/>
        <v>1071.9140759153161</v>
      </c>
      <c r="F723" t="s">
        <v>19</v>
      </c>
      <c r="G723" t="s">
        <v>41</v>
      </c>
      <c r="H723" t="s">
        <v>16</v>
      </c>
      <c r="I723" t="s">
        <v>16</v>
      </c>
      <c r="J723" t="s">
        <v>16</v>
      </c>
      <c r="K723" t="s">
        <v>16</v>
      </c>
      <c r="L723" t="s">
        <v>464</v>
      </c>
      <c r="M723" t="str">
        <f t="shared" si="31"/>
        <v>challengedindustrial</v>
      </c>
      <c r="N723" t="s">
        <v>28</v>
      </c>
      <c r="O723" t="s">
        <v>538</v>
      </c>
      <c r="P723" t="s">
        <v>658</v>
      </c>
      <c r="Q723">
        <v>1071.914076</v>
      </c>
    </row>
    <row r="724" spans="1:17" x14ac:dyDescent="0.2">
      <c r="A724" t="s">
        <v>662</v>
      </c>
      <c r="B724">
        <v>0.16536791000000001</v>
      </c>
      <c r="C724">
        <v>1450.4438719321834</v>
      </c>
      <c r="D724">
        <v>134.3003585122392</v>
      </c>
      <c r="E724">
        <f t="shared" si="32"/>
        <v>26860.07170244784</v>
      </c>
      <c r="F724" t="s">
        <v>19</v>
      </c>
      <c r="G724" t="s">
        <v>32</v>
      </c>
      <c r="H724" t="s">
        <v>16</v>
      </c>
      <c r="I724" t="s">
        <v>16</v>
      </c>
      <c r="J724" t="s">
        <v>16</v>
      </c>
      <c r="K724" t="s">
        <v>16</v>
      </c>
      <c r="L724" t="s">
        <v>464</v>
      </c>
      <c r="M724" t="str">
        <f t="shared" si="31"/>
        <v>abx_challengedindustrial</v>
      </c>
      <c r="N724" t="s">
        <v>28</v>
      </c>
      <c r="O724" t="s">
        <v>538</v>
      </c>
      <c r="P724" t="s">
        <v>663</v>
      </c>
      <c r="Q724">
        <f>E724</f>
        <v>26860.07170244784</v>
      </c>
    </row>
    <row r="725" spans="1:17" x14ac:dyDescent="0.2">
      <c r="A725" t="s">
        <v>664</v>
      </c>
      <c r="B725">
        <v>0</v>
      </c>
      <c r="C725" t="s">
        <v>16</v>
      </c>
      <c r="D725">
        <v>0</v>
      </c>
      <c r="E725">
        <f t="shared" si="32"/>
        <v>0</v>
      </c>
      <c r="F725" t="s">
        <v>19</v>
      </c>
      <c r="G725" t="s">
        <v>36</v>
      </c>
      <c r="H725" t="s">
        <v>37</v>
      </c>
      <c r="I725">
        <f>E726</f>
        <v>4279.6036653955116</v>
      </c>
      <c r="J725" t="s">
        <v>37</v>
      </c>
      <c r="K725">
        <f>E724</f>
        <v>26860.07170244784</v>
      </c>
      <c r="L725" t="s">
        <v>464</v>
      </c>
      <c r="M725" t="str">
        <f t="shared" si="31"/>
        <v>controlindustrial</v>
      </c>
      <c r="N725" t="s">
        <v>28</v>
      </c>
      <c r="O725" t="s">
        <v>538</v>
      </c>
      <c r="P725" t="s">
        <v>663</v>
      </c>
      <c r="Q725" t="s">
        <v>16</v>
      </c>
    </row>
    <row r="726" spans="1:17" x14ac:dyDescent="0.2">
      <c r="A726" t="s">
        <v>665</v>
      </c>
      <c r="B726">
        <v>9.0471128999999997E-2</v>
      </c>
      <c r="C726">
        <v>231.09859793135766</v>
      </c>
      <c r="D726">
        <v>21.39801832697756</v>
      </c>
      <c r="E726">
        <f t="shared" si="32"/>
        <v>4279.6036653955116</v>
      </c>
      <c r="F726" t="s">
        <v>19</v>
      </c>
      <c r="G726" t="s">
        <v>41</v>
      </c>
      <c r="H726" t="s">
        <v>16</v>
      </c>
      <c r="I726" t="s">
        <v>16</v>
      </c>
      <c r="J726" t="s">
        <v>16</v>
      </c>
      <c r="K726" t="s">
        <v>16</v>
      </c>
      <c r="L726" t="s">
        <v>464</v>
      </c>
      <c r="M726" t="str">
        <f t="shared" si="31"/>
        <v>challengedindustrial</v>
      </c>
      <c r="N726" t="s">
        <v>28</v>
      </c>
      <c r="O726" t="s">
        <v>538</v>
      </c>
      <c r="P726" t="s">
        <v>663</v>
      </c>
      <c r="Q726">
        <f>E726</f>
        <v>4279.6036653955116</v>
      </c>
    </row>
    <row r="727" spans="1:17" x14ac:dyDescent="0.2">
      <c r="A727" t="s">
        <v>666</v>
      </c>
      <c r="B727" t="s">
        <v>16</v>
      </c>
      <c r="C727" t="s">
        <v>16</v>
      </c>
      <c r="D727" t="s">
        <v>16</v>
      </c>
      <c r="E727" t="s">
        <v>16</v>
      </c>
      <c r="F727" t="s">
        <v>26</v>
      </c>
      <c r="G727" t="s">
        <v>26</v>
      </c>
      <c r="H727" t="s">
        <v>16</v>
      </c>
      <c r="I727" t="s">
        <v>16</v>
      </c>
      <c r="J727" t="s">
        <v>16</v>
      </c>
      <c r="K727" t="s">
        <v>16</v>
      </c>
      <c r="L727" t="s">
        <v>464</v>
      </c>
      <c r="M727" t="str">
        <f t="shared" si="31"/>
        <v>fecalindustrial</v>
      </c>
      <c r="N727" t="s">
        <v>28</v>
      </c>
      <c r="O727" t="s">
        <v>538</v>
      </c>
      <c r="P727" t="s">
        <v>667</v>
      </c>
      <c r="Q727" t="s">
        <v>16</v>
      </c>
    </row>
    <row r="728" spans="1:17" x14ac:dyDescent="0.2">
      <c r="A728" t="s">
        <v>668</v>
      </c>
      <c r="B728" t="s">
        <v>16</v>
      </c>
      <c r="C728">
        <v>48.369693128648834</v>
      </c>
      <c r="D728">
        <v>4.4786752896897069</v>
      </c>
      <c r="E728">
        <f>D728*200</f>
        <v>895.73505793794141</v>
      </c>
      <c r="F728" t="s">
        <v>19</v>
      </c>
      <c r="G728" t="s">
        <v>32</v>
      </c>
      <c r="H728" t="s">
        <v>16</v>
      </c>
      <c r="I728" t="s">
        <v>16</v>
      </c>
      <c r="J728" t="s">
        <v>16</v>
      </c>
      <c r="K728" t="s">
        <v>16</v>
      </c>
      <c r="L728" t="s">
        <v>464</v>
      </c>
      <c r="M728" t="str">
        <f t="shared" si="31"/>
        <v>abx_challengedindustrial</v>
      </c>
      <c r="N728" t="s">
        <v>28</v>
      </c>
      <c r="O728" t="s">
        <v>538</v>
      </c>
      <c r="P728" t="s">
        <v>667</v>
      </c>
      <c r="Q728">
        <f>E728</f>
        <v>895.73505793794141</v>
      </c>
    </row>
    <row r="729" spans="1:17" x14ac:dyDescent="0.2">
      <c r="A729" t="s">
        <v>669</v>
      </c>
      <c r="B729">
        <v>0</v>
      </c>
      <c r="C729" t="s">
        <v>16</v>
      </c>
      <c r="D729">
        <v>0</v>
      </c>
      <c r="E729">
        <f t="shared" ref="E729:E730" si="33">D729*200</f>
        <v>0</v>
      </c>
      <c r="F729" t="s">
        <v>19</v>
      </c>
      <c r="G729" t="s">
        <v>36</v>
      </c>
      <c r="H729" t="s">
        <v>37</v>
      </c>
      <c r="I729">
        <f>E730</f>
        <v>505.60952408402102</v>
      </c>
      <c r="J729" t="s">
        <v>37</v>
      </c>
      <c r="K729">
        <f>E728</f>
        <v>895.73505793794141</v>
      </c>
      <c r="L729" t="s">
        <v>464</v>
      </c>
      <c r="M729" t="str">
        <f t="shared" si="31"/>
        <v>controlindustrial</v>
      </c>
      <c r="N729" t="s">
        <v>28</v>
      </c>
      <c r="O729" t="s">
        <v>538</v>
      </c>
      <c r="P729" t="s">
        <v>667</v>
      </c>
      <c r="Q729" t="s">
        <v>16</v>
      </c>
    </row>
    <row r="730" spans="1:17" x14ac:dyDescent="0.2">
      <c r="A730" t="s">
        <v>670</v>
      </c>
      <c r="B730">
        <v>5.9992153999999999E-2</v>
      </c>
      <c r="C730">
        <v>27.302914300537136</v>
      </c>
      <c r="D730">
        <v>2.528047620420105</v>
      </c>
      <c r="E730">
        <f t="shared" si="33"/>
        <v>505.60952408402102</v>
      </c>
      <c r="F730" t="s">
        <v>19</v>
      </c>
      <c r="G730" t="s">
        <v>41</v>
      </c>
      <c r="H730" t="s">
        <v>16</v>
      </c>
      <c r="I730" t="s">
        <v>16</v>
      </c>
      <c r="J730" t="s">
        <v>16</v>
      </c>
      <c r="K730" t="s">
        <v>16</v>
      </c>
      <c r="L730" t="s">
        <v>464</v>
      </c>
      <c r="M730" t="str">
        <f t="shared" si="31"/>
        <v>challengedindustrial</v>
      </c>
      <c r="N730" t="s">
        <v>28</v>
      </c>
      <c r="O730" t="s">
        <v>538</v>
      </c>
      <c r="P730" t="s">
        <v>667</v>
      </c>
      <c r="Q730">
        <f>E730</f>
        <v>505.60952408402102</v>
      </c>
    </row>
    <row r="731" spans="1:17" x14ac:dyDescent="0.2">
      <c r="A731" t="s">
        <v>671</v>
      </c>
      <c r="B731" t="s">
        <v>16</v>
      </c>
      <c r="C731" t="s">
        <v>16</v>
      </c>
      <c r="D731" t="s">
        <v>16</v>
      </c>
      <c r="E731" t="s">
        <v>16</v>
      </c>
      <c r="F731" t="s">
        <v>26</v>
      </c>
      <c r="G731" t="s">
        <v>26</v>
      </c>
      <c r="H731" t="s">
        <v>16</v>
      </c>
      <c r="I731" t="s">
        <v>16</v>
      </c>
      <c r="J731" t="s">
        <v>16</v>
      </c>
      <c r="K731" t="s">
        <v>16</v>
      </c>
      <c r="L731" t="s">
        <v>464</v>
      </c>
      <c r="M731" t="str">
        <f t="shared" si="31"/>
        <v>fecalindustrial</v>
      </c>
      <c r="N731" t="s">
        <v>28</v>
      </c>
      <c r="O731" t="s">
        <v>538</v>
      </c>
      <c r="P731" t="s">
        <v>672</v>
      </c>
      <c r="Q731" t="s">
        <v>16</v>
      </c>
    </row>
    <row r="732" spans="1:17" x14ac:dyDescent="0.2">
      <c r="A732" t="s">
        <v>673</v>
      </c>
      <c r="B732">
        <v>9.1585802999999993E-2</v>
      </c>
      <c r="C732">
        <v>1029.0711690000001</v>
      </c>
      <c r="D732">
        <v>95.284367489999994</v>
      </c>
      <c r="E732">
        <v>19056.873500000002</v>
      </c>
      <c r="F732" t="s">
        <v>19</v>
      </c>
      <c r="G732" t="s">
        <v>32</v>
      </c>
      <c r="H732" t="s">
        <v>16</v>
      </c>
      <c r="I732" t="s">
        <v>16</v>
      </c>
      <c r="J732" t="s">
        <v>16</v>
      </c>
      <c r="K732" t="s">
        <v>16</v>
      </c>
      <c r="L732" t="s">
        <v>464</v>
      </c>
      <c r="M732" t="str">
        <f t="shared" si="31"/>
        <v>abx_challengedindustrial</v>
      </c>
      <c r="N732" t="s">
        <v>28</v>
      </c>
      <c r="O732" t="s">
        <v>538</v>
      </c>
      <c r="P732" t="s">
        <v>672</v>
      </c>
      <c r="Q732">
        <v>95.284367489999994</v>
      </c>
    </row>
    <row r="733" spans="1:17" x14ac:dyDescent="0.2">
      <c r="A733" t="s">
        <v>1105</v>
      </c>
      <c r="B733">
        <v>0.106974418</v>
      </c>
      <c r="C733">
        <v>27948663.84</v>
      </c>
      <c r="D733">
        <v>55897.327680000002</v>
      </c>
      <c r="E733">
        <v>11179465.539999999</v>
      </c>
      <c r="F733" t="s">
        <v>33</v>
      </c>
      <c r="G733" t="s">
        <v>32</v>
      </c>
      <c r="H733" t="s">
        <v>16</v>
      </c>
      <c r="I733" t="s">
        <v>16</v>
      </c>
      <c r="J733" t="s">
        <v>16</v>
      </c>
      <c r="K733" t="s">
        <v>16</v>
      </c>
      <c r="L733" t="s">
        <v>464</v>
      </c>
      <c r="M733" t="str">
        <f t="shared" si="31"/>
        <v>abx_challengedindustrial</v>
      </c>
      <c r="N733" t="s">
        <v>28</v>
      </c>
      <c r="O733" t="s">
        <v>538</v>
      </c>
      <c r="P733" t="s">
        <v>672</v>
      </c>
      <c r="Q733">
        <v>55897.327680000002</v>
      </c>
    </row>
    <row r="734" spans="1:17" x14ac:dyDescent="0.2">
      <c r="A734" t="s">
        <v>674</v>
      </c>
      <c r="B734">
        <v>0.193703664</v>
      </c>
      <c r="C734">
        <v>6456831.1239999998</v>
      </c>
      <c r="D734">
        <v>38740.986749999996</v>
      </c>
      <c r="E734">
        <v>7748197.3490000004</v>
      </c>
      <c r="F734" t="s">
        <v>17</v>
      </c>
      <c r="G734" t="s">
        <v>32</v>
      </c>
      <c r="H734" t="s">
        <v>16</v>
      </c>
      <c r="I734" t="s">
        <v>16</v>
      </c>
      <c r="J734" t="s">
        <v>16</v>
      </c>
      <c r="K734" t="s">
        <v>16</v>
      </c>
      <c r="L734" t="s">
        <v>464</v>
      </c>
      <c r="M734" t="str">
        <f t="shared" si="31"/>
        <v>abx_challengedindustrial</v>
      </c>
      <c r="N734" t="s">
        <v>28</v>
      </c>
      <c r="O734" t="s">
        <v>538</v>
      </c>
      <c r="P734" t="s">
        <v>672</v>
      </c>
      <c r="Q734">
        <v>38740.986749999996</v>
      </c>
    </row>
    <row r="735" spans="1:17" x14ac:dyDescent="0.2">
      <c r="A735" t="s">
        <v>675</v>
      </c>
      <c r="B735" s="1">
        <v>0</v>
      </c>
      <c r="C735" t="s">
        <v>16</v>
      </c>
      <c r="D735">
        <v>0</v>
      </c>
      <c r="E735">
        <v>0</v>
      </c>
      <c r="F735" t="s">
        <v>19</v>
      </c>
      <c r="G735" t="s">
        <v>36</v>
      </c>
      <c r="H735" t="s">
        <v>37</v>
      </c>
      <c r="I735">
        <v>8171.586969</v>
      </c>
      <c r="J735" t="s">
        <v>37</v>
      </c>
      <c r="K735">
        <v>19056.873500000002</v>
      </c>
      <c r="L735" t="s">
        <v>464</v>
      </c>
      <c r="M735" t="str">
        <f t="shared" si="31"/>
        <v>controlindustrial</v>
      </c>
      <c r="N735" t="s">
        <v>28</v>
      </c>
      <c r="O735" t="s">
        <v>538</v>
      </c>
      <c r="P735" t="s">
        <v>672</v>
      </c>
      <c r="Q735" t="s">
        <v>16</v>
      </c>
    </row>
    <row r="736" spans="1:17" x14ac:dyDescent="0.2">
      <c r="A736" t="s">
        <v>1106</v>
      </c>
      <c r="B736" s="1">
        <v>0</v>
      </c>
      <c r="C736">
        <v>1157444280</v>
      </c>
      <c r="D736">
        <v>69446656.799999997</v>
      </c>
      <c r="E736">
        <v>13889331361</v>
      </c>
      <c r="F736" t="s">
        <v>33</v>
      </c>
      <c r="G736" t="s">
        <v>36</v>
      </c>
      <c r="H736" t="s">
        <v>38</v>
      </c>
      <c r="I736">
        <v>32159687.050000001</v>
      </c>
      <c r="J736" t="s">
        <v>38</v>
      </c>
      <c r="K736">
        <v>11179465.539999999</v>
      </c>
      <c r="L736" t="s">
        <v>464</v>
      </c>
      <c r="M736" t="str">
        <f t="shared" si="31"/>
        <v>controlindustrial</v>
      </c>
      <c r="N736" t="s">
        <v>28</v>
      </c>
      <c r="O736" t="s">
        <v>538</v>
      </c>
      <c r="P736" t="s">
        <v>672</v>
      </c>
      <c r="Q736" t="s">
        <v>16</v>
      </c>
    </row>
    <row r="737" spans="1:17" x14ac:dyDescent="0.2">
      <c r="A737" t="s">
        <v>676</v>
      </c>
      <c r="B737" s="1">
        <v>0</v>
      </c>
      <c r="C737" t="s">
        <v>16</v>
      </c>
      <c r="D737">
        <v>0</v>
      </c>
      <c r="E737">
        <v>0</v>
      </c>
      <c r="F737" t="s">
        <v>17</v>
      </c>
      <c r="G737" t="s">
        <v>36</v>
      </c>
      <c r="H737" t="s">
        <v>38</v>
      </c>
      <c r="I737">
        <v>396588803.5</v>
      </c>
      <c r="J737" t="s">
        <v>38</v>
      </c>
      <c r="K737">
        <v>7748197.3490000004</v>
      </c>
      <c r="L737" t="s">
        <v>464</v>
      </c>
      <c r="M737" t="str">
        <f t="shared" si="31"/>
        <v>controlindustrial</v>
      </c>
      <c r="N737" t="s">
        <v>28</v>
      </c>
      <c r="O737" t="s">
        <v>538</v>
      </c>
      <c r="P737" t="s">
        <v>672</v>
      </c>
      <c r="Q737" t="s">
        <v>16</v>
      </c>
    </row>
    <row r="738" spans="1:17" x14ac:dyDescent="0.2">
      <c r="A738" t="s">
        <v>677</v>
      </c>
      <c r="B738">
        <v>6.3798858999999999E-2</v>
      </c>
      <c r="C738">
        <v>441.2656963</v>
      </c>
      <c r="D738">
        <v>40.857934849999999</v>
      </c>
      <c r="E738">
        <v>8171.586969</v>
      </c>
      <c r="F738" t="s">
        <v>19</v>
      </c>
      <c r="G738" t="s">
        <v>41</v>
      </c>
      <c r="H738" t="s">
        <v>16</v>
      </c>
      <c r="I738" t="s">
        <v>16</v>
      </c>
      <c r="J738" t="s">
        <v>16</v>
      </c>
      <c r="K738" t="s">
        <v>16</v>
      </c>
      <c r="L738" t="s">
        <v>464</v>
      </c>
      <c r="M738" t="str">
        <f t="shared" si="31"/>
        <v>challengedindustrial</v>
      </c>
      <c r="N738" t="s">
        <v>28</v>
      </c>
      <c r="O738" t="s">
        <v>538</v>
      </c>
      <c r="P738" t="s">
        <v>672</v>
      </c>
      <c r="Q738">
        <v>40.857934849999999</v>
      </c>
    </row>
    <row r="739" spans="1:17" x14ac:dyDescent="0.2">
      <c r="A739" t="s">
        <v>1107</v>
      </c>
      <c r="B739">
        <v>0.15086058299999999</v>
      </c>
      <c r="C739">
        <v>2679973.9210000001</v>
      </c>
      <c r="D739">
        <v>160798.43520000001</v>
      </c>
      <c r="E739">
        <v>32159687.050000001</v>
      </c>
      <c r="F739" t="s">
        <v>33</v>
      </c>
      <c r="G739" t="s">
        <v>41</v>
      </c>
      <c r="H739" t="s">
        <v>16</v>
      </c>
      <c r="I739" t="s">
        <v>16</v>
      </c>
      <c r="J739" t="s">
        <v>16</v>
      </c>
      <c r="K739" t="s">
        <v>16</v>
      </c>
      <c r="L739" t="s">
        <v>464</v>
      </c>
      <c r="M739" t="str">
        <f t="shared" si="31"/>
        <v>challengedindustrial</v>
      </c>
      <c r="N739" t="s">
        <v>28</v>
      </c>
      <c r="O739" t="s">
        <v>538</v>
      </c>
      <c r="P739" t="s">
        <v>672</v>
      </c>
      <c r="Q739">
        <v>-1822145.5819999999</v>
      </c>
    </row>
    <row r="740" spans="1:17" x14ac:dyDescent="0.2">
      <c r="A740" t="s">
        <v>678</v>
      </c>
      <c r="B740">
        <v>0.16500735699999999</v>
      </c>
      <c r="C740">
        <v>33049066.960000001</v>
      </c>
      <c r="D740">
        <v>1982944.0179999999</v>
      </c>
      <c r="E740">
        <v>396588803.5</v>
      </c>
      <c r="F740" t="s">
        <v>17</v>
      </c>
      <c r="G740" t="s">
        <v>41</v>
      </c>
      <c r="H740" t="s">
        <v>16</v>
      </c>
      <c r="I740" t="s">
        <v>16</v>
      </c>
      <c r="J740" t="s">
        <v>16</v>
      </c>
      <c r="K740" t="s">
        <v>16</v>
      </c>
      <c r="L740" t="s">
        <v>464</v>
      </c>
      <c r="M740" t="str">
        <f t="shared" si="31"/>
        <v>challengedindustrial</v>
      </c>
      <c r="N740" t="s">
        <v>28</v>
      </c>
      <c r="O740" t="s">
        <v>538</v>
      </c>
      <c r="P740" t="s">
        <v>672</v>
      </c>
      <c r="Q740">
        <v>1982944.0179999999</v>
      </c>
    </row>
    <row r="741" spans="1:17" x14ac:dyDescent="0.2">
      <c r="A741" t="s">
        <v>679</v>
      </c>
      <c r="B741" t="s">
        <v>16</v>
      </c>
      <c r="C741" t="s">
        <v>16</v>
      </c>
      <c r="D741" t="s">
        <v>16</v>
      </c>
      <c r="E741" t="s">
        <v>16</v>
      </c>
      <c r="F741" t="s">
        <v>19</v>
      </c>
      <c r="G741" t="s">
        <v>680</v>
      </c>
      <c r="H741" t="s">
        <v>16</v>
      </c>
      <c r="I741" t="s">
        <v>16</v>
      </c>
      <c r="J741" t="s">
        <v>16</v>
      </c>
      <c r="K741" t="s">
        <v>16</v>
      </c>
      <c r="L741" t="s">
        <v>16</v>
      </c>
      <c r="M741" t="s">
        <v>16</v>
      </c>
      <c r="N741" t="s">
        <v>16</v>
      </c>
      <c r="O741" t="s">
        <v>16</v>
      </c>
      <c r="P741" t="s">
        <v>16</v>
      </c>
      <c r="Q741" t="s">
        <v>16</v>
      </c>
    </row>
    <row r="742" spans="1:17" x14ac:dyDescent="0.2">
      <c r="A742" t="s">
        <v>681</v>
      </c>
      <c r="B742" t="s">
        <v>16</v>
      </c>
      <c r="C742" t="s">
        <v>16</v>
      </c>
      <c r="D742" t="s">
        <v>16</v>
      </c>
      <c r="E742" t="s">
        <v>16</v>
      </c>
      <c r="F742" t="s">
        <v>19</v>
      </c>
      <c r="G742" t="s">
        <v>680</v>
      </c>
      <c r="H742" t="s">
        <v>16</v>
      </c>
      <c r="I742" t="s">
        <v>16</v>
      </c>
      <c r="J742" t="s">
        <v>16</v>
      </c>
      <c r="K742" t="s">
        <v>16</v>
      </c>
      <c r="L742" t="s">
        <v>16</v>
      </c>
      <c r="M742" t="s">
        <v>16</v>
      </c>
      <c r="N742" t="s">
        <v>16</v>
      </c>
      <c r="O742" t="s">
        <v>16</v>
      </c>
      <c r="P742" t="s">
        <v>16</v>
      </c>
      <c r="Q742" t="s">
        <v>16</v>
      </c>
    </row>
    <row r="743" spans="1:17" x14ac:dyDescent="0.2">
      <c r="A743" t="s">
        <v>682</v>
      </c>
      <c r="B743" t="s">
        <v>16</v>
      </c>
      <c r="C743" t="s">
        <v>16</v>
      </c>
      <c r="D743" t="s">
        <v>16</v>
      </c>
      <c r="E743" t="s">
        <v>16</v>
      </c>
      <c r="F743" t="s">
        <v>19</v>
      </c>
      <c r="G743" t="s">
        <v>680</v>
      </c>
      <c r="H743" t="s">
        <v>16</v>
      </c>
      <c r="I743" t="s">
        <v>16</v>
      </c>
      <c r="J743" t="s">
        <v>16</v>
      </c>
      <c r="K743" t="s">
        <v>16</v>
      </c>
      <c r="L743" t="s">
        <v>16</v>
      </c>
      <c r="M743" t="s">
        <v>16</v>
      </c>
      <c r="N743" t="s">
        <v>16</v>
      </c>
      <c r="O743" t="s">
        <v>16</v>
      </c>
      <c r="P743" t="s">
        <v>16</v>
      </c>
      <c r="Q743" t="s">
        <v>16</v>
      </c>
    </row>
    <row r="744" spans="1:17" x14ac:dyDescent="0.2">
      <c r="A744" t="s">
        <v>683</v>
      </c>
      <c r="B744" t="s">
        <v>16</v>
      </c>
      <c r="C744" t="s">
        <v>16</v>
      </c>
      <c r="D744" t="s">
        <v>16</v>
      </c>
      <c r="E744" t="s">
        <v>16</v>
      </c>
      <c r="F744" t="s">
        <v>19</v>
      </c>
      <c r="G744" t="s">
        <v>680</v>
      </c>
      <c r="H744" t="s">
        <v>16</v>
      </c>
      <c r="I744" t="s">
        <v>16</v>
      </c>
      <c r="J744" t="s">
        <v>16</v>
      </c>
      <c r="K744" t="s">
        <v>16</v>
      </c>
      <c r="L744" t="s">
        <v>16</v>
      </c>
      <c r="M744" t="s">
        <v>16</v>
      </c>
      <c r="N744" t="s">
        <v>16</v>
      </c>
      <c r="O744" t="s">
        <v>16</v>
      </c>
      <c r="P744" t="s">
        <v>16</v>
      </c>
      <c r="Q744" t="s">
        <v>16</v>
      </c>
    </row>
    <row r="745" spans="1:17" x14ac:dyDescent="0.2">
      <c r="A745" t="s">
        <v>684</v>
      </c>
      <c r="B745" t="s">
        <v>16</v>
      </c>
      <c r="C745" t="s">
        <v>16</v>
      </c>
      <c r="D745" t="s">
        <v>16</v>
      </c>
      <c r="E745" t="s">
        <v>16</v>
      </c>
      <c r="F745" t="s">
        <v>19</v>
      </c>
      <c r="G745" t="s">
        <v>680</v>
      </c>
      <c r="H745" t="s">
        <v>16</v>
      </c>
      <c r="I745" t="s">
        <v>16</v>
      </c>
      <c r="J745" t="s">
        <v>16</v>
      </c>
      <c r="K745" t="s">
        <v>16</v>
      </c>
      <c r="L745" t="s">
        <v>16</v>
      </c>
      <c r="M745" t="s">
        <v>16</v>
      </c>
      <c r="N745" t="s">
        <v>16</v>
      </c>
      <c r="O745" t="s">
        <v>16</v>
      </c>
      <c r="P745" t="s">
        <v>16</v>
      </c>
      <c r="Q745" t="s">
        <v>16</v>
      </c>
    </row>
    <row r="746" spans="1:17" x14ac:dyDescent="0.2">
      <c r="A746" t="s">
        <v>685</v>
      </c>
      <c r="B746" t="s">
        <v>16</v>
      </c>
      <c r="C746" t="s">
        <v>16</v>
      </c>
      <c r="D746" t="s">
        <v>16</v>
      </c>
      <c r="E746" t="s">
        <v>16</v>
      </c>
      <c r="F746" t="s">
        <v>17</v>
      </c>
      <c r="G746" t="s">
        <v>680</v>
      </c>
      <c r="H746" t="s">
        <v>16</v>
      </c>
      <c r="I746" t="s">
        <v>16</v>
      </c>
      <c r="J746" t="s">
        <v>16</v>
      </c>
      <c r="K746" t="s">
        <v>16</v>
      </c>
      <c r="L746" t="s">
        <v>16</v>
      </c>
      <c r="M746" t="s">
        <v>16</v>
      </c>
      <c r="N746" t="s">
        <v>16</v>
      </c>
      <c r="O746" t="s">
        <v>16</v>
      </c>
      <c r="P746" t="s">
        <v>16</v>
      </c>
      <c r="Q746" t="s">
        <v>16</v>
      </c>
    </row>
    <row r="747" spans="1:17" x14ac:dyDescent="0.2">
      <c r="A747" t="s">
        <v>686</v>
      </c>
      <c r="B747" t="s">
        <v>16</v>
      </c>
      <c r="C747" t="s">
        <v>16</v>
      </c>
      <c r="D747" t="s">
        <v>16</v>
      </c>
      <c r="E747" t="s">
        <v>16</v>
      </c>
      <c r="F747" t="s">
        <v>19</v>
      </c>
      <c r="G747" t="s">
        <v>687</v>
      </c>
      <c r="H747" t="s">
        <v>16</v>
      </c>
      <c r="I747" t="s">
        <v>16</v>
      </c>
      <c r="J747" t="s">
        <v>16</v>
      </c>
      <c r="K747" t="s">
        <v>16</v>
      </c>
      <c r="L747" t="s">
        <v>16</v>
      </c>
      <c r="M747" t="s">
        <v>16</v>
      </c>
      <c r="N747" t="s">
        <v>16</v>
      </c>
      <c r="O747" t="s">
        <v>16</v>
      </c>
      <c r="P747" t="s">
        <v>16</v>
      </c>
      <c r="Q747" t="s">
        <v>16</v>
      </c>
    </row>
    <row r="748" spans="1:17" x14ac:dyDescent="0.2">
      <c r="A748" t="s">
        <v>688</v>
      </c>
      <c r="B748" t="s">
        <v>16</v>
      </c>
      <c r="C748" t="s">
        <v>16</v>
      </c>
      <c r="D748" t="s">
        <v>16</v>
      </c>
      <c r="E748" t="s">
        <v>16</v>
      </c>
      <c r="F748" t="s">
        <v>19</v>
      </c>
      <c r="G748" t="s">
        <v>689</v>
      </c>
      <c r="H748" t="s">
        <v>16</v>
      </c>
      <c r="I748" t="s">
        <v>16</v>
      </c>
      <c r="J748" t="s">
        <v>16</v>
      </c>
      <c r="K748" t="s">
        <v>16</v>
      </c>
      <c r="L748" t="s">
        <v>16</v>
      </c>
      <c r="M748" t="s">
        <v>16</v>
      </c>
      <c r="N748" t="s">
        <v>16</v>
      </c>
      <c r="O748" t="s">
        <v>16</v>
      </c>
      <c r="P748" t="s">
        <v>16</v>
      </c>
      <c r="Q748" t="s">
        <v>16</v>
      </c>
    </row>
    <row r="749" spans="1:17" x14ac:dyDescent="0.2">
      <c r="A749" t="s">
        <v>690</v>
      </c>
      <c r="B749" t="s">
        <v>16</v>
      </c>
      <c r="C749" t="s">
        <v>16</v>
      </c>
      <c r="D749" t="s">
        <v>16</v>
      </c>
      <c r="E749" t="s">
        <v>16</v>
      </c>
      <c r="F749" t="s">
        <v>19</v>
      </c>
      <c r="G749" t="s">
        <v>689</v>
      </c>
      <c r="H749" t="s">
        <v>16</v>
      </c>
      <c r="I749" t="s">
        <v>16</v>
      </c>
      <c r="J749" t="s">
        <v>16</v>
      </c>
      <c r="K749" t="s">
        <v>16</v>
      </c>
      <c r="L749" t="s">
        <v>16</v>
      </c>
      <c r="M749" t="s">
        <v>16</v>
      </c>
      <c r="N749" t="s">
        <v>16</v>
      </c>
      <c r="O749" t="s">
        <v>16</v>
      </c>
      <c r="P749" t="s">
        <v>16</v>
      </c>
      <c r="Q749" t="s">
        <v>16</v>
      </c>
    </row>
    <row r="750" spans="1:17" x14ac:dyDescent="0.2">
      <c r="A750" t="s">
        <v>691</v>
      </c>
      <c r="B750" t="s">
        <v>16</v>
      </c>
      <c r="C750" t="s">
        <v>16</v>
      </c>
      <c r="D750" t="s">
        <v>16</v>
      </c>
      <c r="E750" t="s">
        <v>16</v>
      </c>
      <c r="F750" t="s">
        <v>19</v>
      </c>
      <c r="G750" t="s">
        <v>689</v>
      </c>
      <c r="H750" t="s">
        <v>16</v>
      </c>
      <c r="I750" t="s">
        <v>16</v>
      </c>
      <c r="J750" t="s">
        <v>16</v>
      </c>
      <c r="K750" t="s">
        <v>16</v>
      </c>
      <c r="L750" t="s">
        <v>16</v>
      </c>
      <c r="M750" t="s">
        <v>16</v>
      </c>
      <c r="N750" t="s">
        <v>16</v>
      </c>
      <c r="O750" t="s">
        <v>16</v>
      </c>
      <c r="P750" t="s">
        <v>16</v>
      </c>
      <c r="Q750" t="s">
        <v>16</v>
      </c>
    </row>
    <row r="751" spans="1:17" x14ac:dyDescent="0.2">
      <c r="A751" t="s">
        <v>692</v>
      </c>
      <c r="B751" t="s">
        <v>16</v>
      </c>
      <c r="C751" t="s">
        <v>16</v>
      </c>
      <c r="D751" t="s">
        <v>16</v>
      </c>
      <c r="E751" t="s">
        <v>16</v>
      </c>
      <c r="F751" t="s">
        <v>19</v>
      </c>
      <c r="G751" t="s">
        <v>689</v>
      </c>
      <c r="H751" t="s">
        <v>16</v>
      </c>
      <c r="I751" t="s">
        <v>16</v>
      </c>
      <c r="J751" t="s">
        <v>16</v>
      </c>
      <c r="K751" t="s">
        <v>16</v>
      </c>
      <c r="L751" t="s">
        <v>16</v>
      </c>
      <c r="M751" t="s">
        <v>16</v>
      </c>
      <c r="N751" t="s">
        <v>16</v>
      </c>
      <c r="O751" t="s">
        <v>16</v>
      </c>
      <c r="P751" t="s">
        <v>16</v>
      </c>
      <c r="Q751" t="s">
        <v>16</v>
      </c>
    </row>
    <row r="752" spans="1:17" x14ac:dyDescent="0.2">
      <c r="A752" t="s">
        <v>693</v>
      </c>
      <c r="B752" t="s">
        <v>16</v>
      </c>
      <c r="C752" t="s">
        <v>16</v>
      </c>
      <c r="D752" t="s">
        <v>16</v>
      </c>
      <c r="E752" t="s">
        <v>16</v>
      </c>
      <c r="F752" t="s">
        <v>17</v>
      </c>
      <c r="G752" t="s">
        <v>689</v>
      </c>
      <c r="H752" t="s">
        <v>16</v>
      </c>
      <c r="I752" t="s">
        <v>16</v>
      </c>
      <c r="J752" t="s">
        <v>16</v>
      </c>
      <c r="K752" t="s">
        <v>16</v>
      </c>
      <c r="L752" t="s">
        <v>16</v>
      </c>
      <c r="M752" t="s">
        <v>16</v>
      </c>
      <c r="N752" t="s">
        <v>16</v>
      </c>
      <c r="O752" t="s">
        <v>16</v>
      </c>
      <c r="P752" t="s">
        <v>16</v>
      </c>
      <c r="Q752" t="s">
        <v>16</v>
      </c>
    </row>
    <row r="753" spans="1:17" x14ac:dyDescent="0.2">
      <c r="A753" t="s">
        <v>694</v>
      </c>
      <c r="B753" t="s">
        <v>16</v>
      </c>
      <c r="C753" t="s">
        <v>16</v>
      </c>
      <c r="D753" t="s">
        <v>16</v>
      </c>
      <c r="E753" t="s">
        <v>16</v>
      </c>
      <c r="F753" t="s">
        <v>26</v>
      </c>
      <c r="G753" t="s">
        <v>26</v>
      </c>
      <c r="H753" t="s">
        <v>16</v>
      </c>
      <c r="I753" t="s">
        <v>16</v>
      </c>
      <c r="J753" t="s">
        <v>16</v>
      </c>
      <c r="K753" t="s">
        <v>16</v>
      </c>
      <c r="L753" t="s">
        <v>695</v>
      </c>
      <c r="M753" t="s">
        <v>16</v>
      </c>
      <c r="N753" t="s">
        <v>28</v>
      </c>
      <c r="O753" t="s">
        <v>696</v>
      </c>
      <c r="P753" t="s">
        <v>697</v>
      </c>
      <c r="Q753" t="s">
        <v>16</v>
      </c>
    </row>
    <row r="754" spans="1:17" x14ac:dyDescent="0.2">
      <c r="A754" t="s">
        <v>698</v>
      </c>
      <c r="B754">
        <v>0.20877214099999999</v>
      </c>
      <c r="C754">
        <v>21.026308619999998</v>
      </c>
      <c r="D754">
        <v>0</v>
      </c>
      <c r="E754">
        <v>0</v>
      </c>
      <c r="F754" t="s">
        <v>19</v>
      </c>
      <c r="G754" t="s">
        <v>32</v>
      </c>
      <c r="H754" t="s">
        <v>16</v>
      </c>
      <c r="I754" t="s">
        <v>16</v>
      </c>
      <c r="J754" t="s">
        <v>16</v>
      </c>
      <c r="K754" t="s">
        <v>16</v>
      </c>
      <c r="L754" t="s">
        <v>695</v>
      </c>
      <c r="M754" t="str">
        <f t="shared" si="31"/>
        <v>abx_challengedresearch</v>
      </c>
      <c r="N754" t="s">
        <v>28</v>
      </c>
      <c r="O754" t="s">
        <v>696</v>
      </c>
      <c r="P754" t="s">
        <v>697</v>
      </c>
      <c r="Q754">
        <v>0</v>
      </c>
    </row>
    <row r="755" spans="1:17" x14ac:dyDescent="0.2">
      <c r="A755" t="s">
        <v>1108</v>
      </c>
      <c r="B755">
        <v>0.135871458</v>
      </c>
      <c r="C755">
        <v>122156493.40000001</v>
      </c>
      <c r="D755">
        <v>732938.96059999999</v>
      </c>
      <c r="E755">
        <v>146587792.09999999</v>
      </c>
      <c r="F755" t="s">
        <v>33</v>
      </c>
      <c r="G755" t="s">
        <v>32</v>
      </c>
      <c r="H755" t="s">
        <v>16</v>
      </c>
      <c r="I755" t="s">
        <v>16</v>
      </c>
      <c r="J755" t="s">
        <v>16</v>
      </c>
      <c r="K755" t="s">
        <v>16</v>
      </c>
      <c r="L755" t="s">
        <v>695</v>
      </c>
      <c r="M755" t="str">
        <f t="shared" si="31"/>
        <v>abx_challengedresearch</v>
      </c>
      <c r="N755" t="s">
        <v>28</v>
      </c>
      <c r="O755" t="s">
        <v>696</v>
      </c>
      <c r="P755" t="s">
        <v>697</v>
      </c>
      <c r="Q755">
        <v>664150.21970000002</v>
      </c>
    </row>
    <row r="756" spans="1:17" x14ac:dyDescent="0.2">
      <c r="A756" t="s">
        <v>699</v>
      </c>
      <c r="B756">
        <v>0.22286726100000001</v>
      </c>
      <c r="C756">
        <v>11464790.15</v>
      </c>
      <c r="D756">
        <v>68788.740879999998</v>
      </c>
      <c r="E756">
        <v>13757748.18</v>
      </c>
      <c r="F756" t="s">
        <v>17</v>
      </c>
      <c r="G756" t="s">
        <v>32</v>
      </c>
      <c r="H756" t="s">
        <v>16</v>
      </c>
      <c r="I756" t="s">
        <v>16</v>
      </c>
      <c r="J756" t="s">
        <v>16</v>
      </c>
      <c r="K756" t="s">
        <v>16</v>
      </c>
      <c r="L756" t="s">
        <v>695</v>
      </c>
      <c r="M756" t="str">
        <f t="shared" si="31"/>
        <v>abx_challengedresearch</v>
      </c>
      <c r="N756" t="s">
        <v>28</v>
      </c>
      <c r="O756" t="s">
        <v>696</v>
      </c>
      <c r="P756" t="s">
        <v>697</v>
      </c>
      <c r="Q756">
        <v>68788.740879999998</v>
      </c>
    </row>
    <row r="757" spans="1:17" x14ac:dyDescent="0.2">
      <c r="A757" t="s">
        <v>700</v>
      </c>
      <c r="B757" s="1">
        <v>0</v>
      </c>
      <c r="C757">
        <v>8.8246059280000004</v>
      </c>
      <c r="D757">
        <v>0</v>
      </c>
      <c r="E757">
        <v>0</v>
      </c>
      <c r="F757" t="s">
        <v>19</v>
      </c>
      <c r="G757" t="s">
        <v>36</v>
      </c>
      <c r="H757" t="s">
        <v>37</v>
      </c>
      <c r="I757">
        <v>0</v>
      </c>
      <c r="J757" t="s">
        <v>37</v>
      </c>
      <c r="K757">
        <v>0</v>
      </c>
      <c r="L757" t="s">
        <v>695</v>
      </c>
      <c r="M757" t="str">
        <f t="shared" si="31"/>
        <v>controlresearch</v>
      </c>
      <c r="N757" t="s">
        <v>28</v>
      </c>
      <c r="O757" t="s">
        <v>696</v>
      </c>
      <c r="P757" t="s">
        <v>697</v>
      </c>
      <c r="Q757" t="s">
        <v>16</v>
      </c>
    </row>
    <row r="758" spans="1:17" x14ac:dyDescent="0.2">
      <c r="A758" t="s">
        <v>1109</v>
      </c>
      <c r="B758" s="1">
        <v>0</v>
      </c>
      <c r="C758">
        <v>1461742517</v>
      </c>
      <c r="D758">
        <v>87704551</v>
      </c>
      <c r="E758">
        <v>17540910201</v>
      </c>
      <c r="F758" t="s">
        <v>33</v>
      </c>
      <c r="G758" t="s">
        <v>36</v>
      </c>
      <c r="H758" t="s">
        <v>38</v>
      </c>
      <c r="I758">
        <v>149452588.30000001</v>
      </c>
      <c r="J758" t="s">
        <v>38</v>
      </c>
      <c r="K758">
        <v>146587792.09999999</v>
      </c>
      <c r="L758" t="s">
        <v>695</v>
      </c>
      <c r="M758" t="str">
        <f t="shared" si="31"/>
        <v>controlresearch</v>
      </c>
      <c r="N758" t="s">
        <v>28</v>
      </c>
      <c r="O758" t="s">
        <v>696</v>
      </c>
      <c r="P758" t="s">
        <v>697</v>
      </c>
      <c r="Q758" t="s">
        <v>16</v>
      </c>
    </row>
    <row r="759" spans="1:17" x14ac:dyDescent="0.2">
      <c r="A759" t="s">
        <v>701</v>
      </c>
      <c r="B759" s="1">
        <v>0</v>
      </c>
      <c r="C759" t="s">
        <v>16</v>
      </c>
      <c r="D759">
        <v>0</v>
      </c>
      <c r="E759">
        <v>0</v>
      </c>
      <c r="F759" t="s">
        <v>17</v>
      </c>
      <c r="G759" t="s">
        <v>36</v>
      </c>
      <c r="H759" t="s">
        <v>38</v>
      </c>
      <c r="I759">
        <v>405121414.69999999</v>
      </c>
      <c r="J759" t="s">
        <v>38</v>
      </c>
      <c r="K759">
        <v>13757748.18</v>
      </c>
      <c r="L759" t="s">
        <v>695</v>
      </c>
      <c r="M759" t="str">
        <f t="shared" si="31"/>
        <v>controlresearch</v>
      </c>
      <c r="N759" t="s">
        <v>28</v>
      </c>
      <c r="O759" t="s">
        <v>696</v>
      </c>
      <c r="P759" t="s">
        <v>697</v>
      </c>
      <c r="Q759" t="s">
        <v>16</v>
      </c>
    </row>
    <row r="760" spans="1:17" x14ac:dyDescent="0.2">
      <c r="A760" t="s">
        <v>702</v>
      </c>
      <c r="B760">
        <v>0.118207963</v>
      </c>
      <c r="C760">
        <v>21.878264959999999</v>
      </c>
      <c r="D760">
        <v>0</v>
      </c>
      <c r="E760">
        <v>0</v>
      </c>
      <c r="F760" t="s">
        <v>19</v>
      </c>
      <c r="G760" t="s">
        <v>41</v>
      </c>
      <c r="H760" t="s">
        <v>16</v>
      </c>
      <c r="I760" t="s">
        <v>16</v>
      </c>
      <c r="J760" t="s">
        <v>16</v>
      </c>
      <c r="K760" t="s">
        <v>16</v>
      </c>
      <c r="L760" t="s">
        <v>695</v>
      </c>
      <c r="M760" t="str">
        <f t="shared" si="31"/>
        <v>challengedresearch</v>
      </c>
      <c r="N760" t="s">
        <v>28</v>
      </c>
      <c r="O760" t="s">
        <v>696</v>
      </c>
      <c r="P760" t="s">
        <v>697</v>
      </c>
      <c r="Q760">
        <v>0</v>
      </c>
    </row>
    <row r="761" spans="1:17" x14ac:dyDescent="0.2">
      <c r="A761" t="s">
        <v>703</v>
      </c>
      <c r="B761">
        <v>0.18079613</v>
      </c>
      <c r="C761">
        <v>33760117.899999999</v>
      </c>
      <c r="D761">
        <v>2025607.074</v>
      </c>
      <c r="E761">
        <v>405121414.69999999</v>
      </c>
      <c r="F761" t="s">
        <v>17</v>
      </c>
      <c r="G761" t="s">
        <v>41</v>
      </c>
      <c r="H761" t="s">
        <v>16</v>
      </c>
      <c r="I761" t="s">
        <v>16</v>
      </c>
      <c r="J761" t="s">
        <v>16</v>
      </c>
      <c r="K761" t="s">
        <v>16</v>
      </c>
      <c r="L761" t="s">
        <v>695</v>
      </c>
      <c r="M761" t="str">
        <f t="shared" si="31"/>
        <v>challengedresearch</v>
      </c>
      <c r="N761" t="s">
        <v>28</v>
      </c>
      <c r="O761" t="s">
        <v>696</v>
      </c>
      <c r="P761" t="s">
        <v>697</v>
      </c>
      <c r="Q761">
        <v>2025607.074</v>
      </c>
    </row>
    <row r="762" spans="1:17" x14ac:dyDescent="0.2">
      <c r="A762" t="s">
        <v>1173</v>
      </c>
      <c r="B762" s="1">
        <v>0.17234901</v>
      </c>
      <c r="C762">
        <v>8967155.3000000007</v>
      </c>
      <c r="D762">
        <f>(C762*50)/(3*200)</f>
        <v>747262.94166666677</v>
      </c>
      <c r="E762">
        <f>D762*200</f>
        <v>149452588.33333334</v>
      </c>
      <c r="F762" t="s">
        <v>33</v>
      </c>
      <c r="G762" t="s">
        <v>41</v>
      </c>
      <c r="H762" t="s">
        <v>16</v>
      </c>
      <c r="I762" t="s">
        <v>16</v>
      </c>
      <c r="J762" t="s">
        <v>16</v>
      </c>
      <c r="K762" t="s">
        <v>16</v>
      </c>
      <c r="L762" t="s">
        <v>695</v>
      </c>
      <c r="M762" t="str">
        <f t="shared" si="31"/>
        <v>challengedresearch</v>
      </c>
      <c r="N762" t="s">
        <v>28</v>
      </c>
      <c r="O762" t="s">
        <v>696</v>
      </c>
      <c r="P762" t="s">
        <v>697</v>
      </c>
    </row>
    <row r="763" spans="1:17" x14ac:dyDescent="0.2">
      <c r="A763" t="s">
        <v>704</v>
      </c>
      <c r="B763" t="s">
        <v>16</v>
      </c>
      <c r="C763" s="1" t="s">
        <v>16</v>
      </c>
      <c r="D763" s="1" t="s">
        <v>16</v>
      </c>
      <c r="E763" t="s">
        <v>16</v>
      </c>
      <c r="F763" t="s">
        <v>26</v>
      </c>
      <c r="G763" t="s">
        <v>26</v>
      </c>
      <c r="H763" t="s">
        <v>16</v>
      </c>
      <c r="I763" t="s">
        <v>16</v>
      </c>
      <c r="J763" t="s">
        <v>16</v>
      </c>
      <c r="K763" t="s">
        <v>16</v>
      </c>
      <c r="L763" t="s">
        <v>695</v>
      </c>
      <c r="M763" t="str">
        <f t="shared" si="31"/>
        <v>fecalresearch</v>
      </c>
      <c r="N763" t="s">
        <v>28</v>
      </c>
      <c r="O763" t="s">
        <v>696</v>
      </c>
      <c r="P763" t="s">
        <v>705</v>
      </c>
      <c r="Q763" t="s">
        <v>16</v>
      </c>
    </row>
    <row r="764" spans="1:17" x14ac:dyDescent="0.2">
      <c r="A764" t="s">
        <v>706</v>
      </c>
      <c r="B764">
        <v>0.11870705600000001</v>
      </c>
      <c r="C764">
        <v>4.9140455644850149</v>
      </c>
      <c r="D764">
        <v>0.45500421893379767</v>
      </c>
      <c r="E764">
        <f>D764*200</f>
        <v>91.000843786759532</v>
      </c>
      <c r="F764" t="s">
        <v>19</v>
      </c>
      <c r="G764" t="s">
        <v>32</v>
      </c>
      <c r="H764" t="s">
        <v>16</v>
      </c>
      <c r="I764" t="s">
        <v>16</v>
      </c>
      <c r="J764" t="s">
        <v>16</v>
      </c>
      <c r="K764" t="s">
        <v>16</v>
      </c>
      <c r="L764" t="s">
        <v>695</v>
      </c>
      <c r="M764" t="str">
        <f t="shared" si="31"/>
        <v>abx_challengedresearch</v>
      </c>
      <c r="N764" t="s">
        <v>28</v>
      </c>
      <c r="O764" t="s">
        <v>696</v>
      </c>
      <c r="P764" t="s">
        <v>705</v>
      </c>
      <c r="Q764">
        <f>E764</f>
        <v>91.000843786759532</v>
      </c>
    </row>
    <row r="765" spans="1:17" x14ac:dyDescent="0.2">
      <c r="A765" t="s">
        <v>707</v>
      </c>
      <c r="B765">
        <v>0</v>
      </c>
      <c r="C765" t="s">
        <v>16</v>
      </c>
      <c r="D765">
        <v>0</v>
      </c>
      <c r="E765">
        <f t="shared" ref="E765:E766" si="34">D765*200</f>
        <v>0</v>
      </c>
      <c r="F765" t="s">
        <v>19</v>
      </c>
      <c r="G765" t="s">
        <v>36</v>
      </c>
      <c r="H765" t="s">
        <v>37</v>
      </c>
      <c r="I765">
        <f>E766</f>
        <v>0</v>
      </c>
      <c r="J765" t="s">
        <v>37</v>
      </c>
      <c r="K765">
        <f>E764</f>
        <v>91.000843786759532</v>
      </c>
      <c r="L765" t="s">
        <v>695</v>
      </c>
      <c r="M765" t="str">
        <f t="shared" si="31"/>
        <v>controlresearch</v>
      </c>
      <c r="N765" t="s">
        <v>28</v>
      </c>
      <c r="O765" t="s">
        <v>696</v>
      </c>
      <c r="P765" t="s">
        <v>705</v>
      </c>
      <c r="Q765" t="s">
        <v>16</v>
      </c>
    </row>
    <row r="766" spans="1:17" x14ac:dyDescent="0.2">
      <c r="A766" t="s">
        <v>708</v>
      </c>
      <c r="B766">
        <v>2.8920060000000001E-2</v>
      </c>
      <c r="C766" t="s">
        <v>16</v>
      </c>
      <c r="D766">
        <v>0</v>
      </c>
      <c r="E766">
        <f t="shared" si="34"/>
        <v>0</v>
      </c>
      <c r="F766" t="s">
        <v>19</v>
      </c>
      <c r="G766" t="s">
        <v>41</v>
      </c>
      <c r="H766" t="s">
        <v>16</v>
      </c>
      <c r="I766" t="s">
        <v>16</v>
      </c>
      <c r="J766" t="s">
        <v>16</v>
      </c>
      <c r="K766" t="s">
        <v>16</v>
      </c>
      <c r="L766" t="s">
        <v>695</v>
      </c>
      <c r="M766" t="str">
        <f t="shared" si="31"/>
        <v>challengedresearch</v>
      </c>
      <c r="N766" t="s">
        <v>28</v>
      </c>
      <c r="O766" t="s">
        <v>696</v>
      </c>
      <c r="P766" t="s">
        <v>705</v>
      </c>
      <c r="Q766">
        <v>0</v>
      </c>
    </row>
    <row r="767" spans="1:17" x14ac:dyDescent="0.2">
      <c r="A767" t="s">
        <v>709</v>
      </c>
      <c r="B767" t="s">
        <v>16</v>
      </c>
      <c r="C767" s="1" t="s">
        <v>16</v>
      </c>
      <c r="D767" s="1" t="s">
        <v>16</v>
      </c>
      <c r="E767" t="s">
        <v>16</v>
      </c>
      <c r="F767" t="s">
        <v>26</v>
      </c>
      <c r="G767" t="s">
        <v>26</v>
      </c>
      <c r="H767" t="s">
        <v>16</v>
      </c>
      <c r="I767" t="s">
        <v>16</v>
      </c>
      <c r="J767" t="s">
        <v>16</v>
      </c>
      <c r="K767" t="s">
        <v>16</v>
      </c>
      <c r="L767" t="s">
        <v>695</v>
      </c>
      <c r="M767" t="str">
        <f t="shared" si="31"/>
        <v>fecalresearch</v>
      </c>
      <c r="N767" t="s">
        <v>28</v>
      </c>
      <c r="O767" t="s">
        <v>696</v>
      </c>
      <c r="P767" t="s">
        <v>710</v>
      </c>
      <c r="Q767" t="s">
        <v>16</v>
      </c>
    </row>
    <row r="768" spans="1:17" x14ac:dyDescent="0.2">
      <c r="A768" t="s">
        <v>711</v>
      </c>
      <c r="B768">
        <v>0.23544473799999999</v>
      </c>
      <c r="C768">
        <v>897.78029725615397</v>
      </c>
      <c r="D768">
        <v>83.127805301495741</v>
      </c>
      <c r="E768">
        <f>D768*200</f>
        <v>16625.561060299147</v>
      </c>
      <c r="F768" t="s">
        <v>19</v>
      </c>
      <c r="G768" t="s">
        <v>32</v>
      </c>
      <c r="H768" t="s">
        <v>16</v>
      </c>
      <c r="I768" t="s">
        <v>16</v>
      </c>
      <c r="J768" t="s">
        <v>16</v>
      </c>
      <c r="K768" t="s">
        <v>16</v>
      </c>
      <c r="L768" t="s">
        <v>695</v>
      </c>
      <c r="M768" t="str">
        <f t="shared" si="31"/>
        <v>abx_challengedresearch</v>
      </c>
      <c r="N768" t="s">
        <v>28</v>
      </c>
      <c r="O768" t="s">
        <v>696</v>
      </c>
      <c r="P768" t="s">
        <v>710</v>
      </c>
      <c r="Q768">
        <f>E768-E769</f>
        <v>16590.101323450621</v>
      </c>
    </row>
    <row r="769" spans="1:17" x14ac:dyDescent="0.2">
      <c r="A769" t="s">
        <v>712</v>
      </c>
      <c r="B769">
        <v>0</v>
      </c>
      <c r="C769">
        <v>1.9148257898205134</v>
      </c>
      <c r="D769">
        <v>0.17729868424264011</v>
      </c>
      <c r="E769">
        <f t="shared" ref="E769:E773" si="35">D769*200</f>
        <v>35.459736848528024</v>
      </c>
      <c r="F769" t="s">
        <v>19</v>
      </c>
      <c r="G769" t="s">
        <v>36</v>
      </c>
      <c r="H769" t="s">
        <v>37</v>
      </c>
      <c r="I769">
        <f>E770</f>
        <v>0</v>
      </c>
      <c r="J769" t="s">
        <v>37</v>
      </c>
      <c r="K769">
        <f>E768</f>
        <v>16625.561060299147</v>
      </c>
      <c r="L769" t="s">
        <v>695</v>
      </c>
      <c r="M769" t="str">
        <f t="shared" si="31"/>
        <v>controlresearch</v>
      </c>
      <c r="N769" t="s">
        <v>28</v>
      </c>
      <c r="O769" t="s">
        <v>696</v>
      </c>
      <c r="P769" t="s">
        <v>710</v>
      </c>
      <c r="Q769" t="s">
        <v>16</v>
      </c>
    </row>
    <row r="770" spans="1:17" x14ac:dyDescent="0.2">
      <c r="A770" t="s">
        <v>713</v>
      </c>
      <c r="B770">
        <v>3.9535967999999998E-2</v>
      </c>
      <c r="C770" t="s">
        <v>16</v>
      </c>
      <c r="D770">
        <v>0</v>
      </c>
      <c r="E770">
        <f t="shared" si="35"/>
        <v>0</v>
      </c>
      <c r="F770" t="s">
        <v>19</v>
      </c>
      <c r="G770" t="s">
        <v>41</v>
      </c>
      <c r="H770" t="s">
        <v>16</v>
      </c>
      <c r="I770" t="s">
        <v>16</v>
      </c>
      <c r="J770" t="s">
        <v>16</v>
      </c>
      <c r="K770" t="s">
        <v>16</v>
      </c>
      <c r="L770" t="s">
        <v>695</v>
      </c>
      <c r="M770" t="str">
        <f t="shared" si="31"/>
        <v>challengedresearch</v>
      </c>
      <c r="N770" t="s">
        <v>28</v>
      </c>
      <c r="O770" t="s">
        <v>696</v>
      </c>
      <c r="P770" t="s">
        <v>710</v>
      </c>
      <c r="Q770">
        <f>E770-E769</f>
        <v>-35.459736848528024</v>
      </c>
    </row>
    <row r="771" spans="1:17" x14ac:dyDescent="0.2">
      <c r="A771" t="s">
        <v>714</v>
      </c>
      <c r="B771">
        <v>0.15889915199999999</v>
      </c>
      <c r="C771">
        <v>23.483433756308816</v>
      </c>
      <c r="D771">
        <v>2.1743920144730389</v>
      </c>
      <c r="E771">
        <f t="shared" si="35"/>
        <v>434.8784028946078</v>
      </c>
      <c r="F771" t="s">
        <v>19</v>
      </c>
      <c r="G771" t="s">
        <v>32</v>
      </c>
      <c r="H771" t="s">
        <v>16</v>
      </c>
      <c r="I771" t="s">
        <v>16</v>
      </c>
      <c r="J771" t="s">
        <v>16</v>
      </c>
      <c r="K771" t="s">
        <v>16</v>
      </c>
      <c r="L771" t="s">
        <v>695</v>
      </c>
      <c r="M771" t="str">
        <f t="shared" si="31"/>
        <v>abx_challengedresearch</v>
      </c>
      <c r="N771" t="s">
        <v>28</v>
      </c>
      <c r="O771" t="s">
        <v>696</v>
      </c>
      <c r="P771" t="s">
        <v>715</v>
      </c>
      <c r="Q771">
        <f>E771-E773</f>
        <v>325.08992406759694</v>
      </c>
    </row>
    <row r="772" spans="1:17" x14ac:dyDescent="0.2">
      <c r="A772" t="s">
        <v>716</v>
      </c>
      <c r="B772" t="s">
        <v>16</v>
      </c>
      <c r="C772">
        <v>4.7989935277778155</v>
      </c>
      <c r="D772">
        <v>0.44435125257201996</v>
      </c>
      <c r="E772">
        <f t="shared" si="35"/>
        <v>88.870250514403992</v>
      </c>
      <c r="F772" t="s">
        <v>19</v>
      </c>
      <c r="G772" t="s">
        <v>91</v>
      </c>
      <c r="H772" t="s">
        <v>16</v>
      </c>
      <c r="I772" t="s">
        <v>16</v>
      </c>
      <c r="J772" t="s">
        <v>16</v>
      </c>
      <c r="K772" t="s">
        <v>16</v>
      </c>
      <c r="L772" t="s">
        <v>695</v>
      </c>
      <c r="M772" t="str">
        <f t="shared" si="31"/>
        <v>ABXresearch</v>
      </c>
      <c r="N772" t="s">
        <v>28</v>
      </c>
      <c r="O772" t="s">
        <v>696</v>
      </c>
      <c r="P772" t="s">
        <v>715</v>
      </c>
      <c r="Q772">
        <f>E772-E773</f>
        <v>-20.918228312606885</v>
      </c>
    </row>
    <row r="773" spans="1:17" x14ac:dyDescent="0.2">
      <c r="A773" t="s">
        <v>717</v>
      </c>
      <c r="B773">
        <v>0</v>
      </c>
      <c r="C773">
        <v>5.9285778566585874</v>
      </c>
      <c r="D773">
        <v>0.54894239413505441</v>
      </c>
      <c r="E773">
        <f t="shared" si="35"/>
        <v>109.78847882701088</v>
      </c>
      <c r="F773" t="s">
        <v>19</v>
      </c>
      <c r="G773" t="s">
        <v>36</v>
      </c>
      <c r="H773" t="s">
        <v>37</v>
      </c>
      <c r="I773" t="s">
        <v>16</v>
      </c>
      <c r="J773" t="s">
        <v>37</v>
      </c>
      <c r="K773">
        <f>E771</f>
        <v>434.8784028946078</v>
      </c>
      <c r="L773" t="s">
        <v>695</v>
      </c>
      <c r="M773" t="str">
        <f t="shared" si="31"/>
        <v>controlresearch</v>
      </c>
      <c r="N773" t="s">
        <v>28</v>
      </c>
      <c r="O773" t="s">
        <v>696</v>
      </c>
      <c r="P773" t="s">
        <v>715</v>
      </c>
      <c r="Q773" t="s">
        <v>16</v>
      </c>
    </row>
    <row r="774" spans="1:17" x14ac:dyDescent="0.2">
      <c r="A774" t="s">
        <v>718</v>
      </c>
      <c r="B774" t="s">
        <v>16</v>
      </c>
      <c r="C774" t="s">
        <v>16</v>
      </c>
      <c r="D774" t="s">
        <v>16</v>
      </c>
      <c r="E774" t="s">
        <v>16</v>
      </c>
      <c r="F774" t="s">
        <v>26</v>
      </c>
      <c r="G774" t="s">
        <v>26</v>
      </c>
      <c r="H774" t="s">
        <v>16</v>
      </c>
      <c r="I774" t="s">
        <v>16</v>
      </c>
      <c r="J774" t="s">
        <v>16</v>
      </c>
      <c r="K774" t="s">
        <v>16</v>
      </c>
      <c r="L774" t="s">
        <v>695</v>
      </c>
      <c r="M774" t="str">
        <f t="shared" si="31"/>
        <v>fecalresearch</v>
      </c>
      <c r="N774" t="s">
        <v>28</v>
      </c>
      <c r="O774" t="s">
        <v>696</v>
      </c>
      <c r="P774" t="s">
        <v>719</v>
      </c>
      <c r="Q774" t="s">
        <v>16</v>
      </c>
    </row>
    <row r="775" spans="1:17" x14ac:dyDescent="0.2">
      <c r="A775" t="s">
        <v>720</v>
      </c>
      <c r="B775">
        <v>0.161927762</v>
      </c>
      <c r="C775" t="s">
        <v>16</v>
      </c>
      <c r="D775">
        <v>0</v>
      </c>
      <c r="E775">
        <v>0</v>
      </c>
      <c r="F775" t="s">
        <v>19</v>
      </c>
      <c r="G775" t="s">
        <v>32</v>
      </c>
      <c r="H775" t="s">
        <v>16</v>
      </c>
      <c r="I775" t="s">
        <v>16</v>
      </c>
      <c r="J775" t="s">
        <v>16</v>
      </c>
      <c r="K775" t="s">
        <v>16</v>
      </c>
      <c r="L775" t="s">
        <v>695</v>
      </c>
      <c r="M775" t="str">
        <f t="shared" si="31"/>
        <v>abx_challengedresearch</v>
      </c>
      <c r="N775" t="s">
        <v>28</v>
      </c>
      <c r="O775" t="s">
        <v>696</v>
      </c>
      <c r="P775" t="s">
        <v>719</v>
      </c>
      <c r="Q775">
        <v>0</v>
      </c>
    </row>
    <row r="776" spans="1:17" x14ac:dyDescent="0.2">
      <c r="A776" t="s">
        <v>1110</v>
      </c>
      <c r="B776">
        <v>0.17125611099999999</v>
      </c>
      <c r="C776">
        <v>150183684.19999999</v>
      </c>
      <c r="D776">
        <v>901102.10499999998</v>
      </c>
      <c r="E776">
        <v>180220421</v>
      </c>
      <c r="F776" t="s">
        <v>33</v>
      </c>
      <c r="G776" t="s">
        <v>32</v>
      </c>
      <c r="H776" t="s">
        <v>16</v>
      </c>
      <c r="I776" t="s">
        <v>16</v>
      </c>
      <c r="J776" t="s">
        <v>16</v>
      </c>
      <c r="K776" t="s">
        <v>16</v>
      </c>
      <c r="L776" t="s">
        <v>695</v>
      </c>
      <c r="M776" t="str">
        <f t="shared" si="31"/>
        <v>abx_challengedresearch</v>
      </c>
      <c r="N776" t="s">
        <v>28</v>
      </c>
      <c r="O776" t="s">
        <v>696</v>
      </c>
      <c r="P776" t="s">
        <v>719</v>
      </c>
      <c r="Q776">
        <v>862023.7844</v>
      </c>
    </row>
    <row r="777" spans="1:17" x14ac:dyDescent="0.2">
      <c r="A777" t="s">
        <v>721</v>
      </c>
      <c r="B777">
        <v>0.29123956899999998</v>
      </c>
      <c r="C777">
        <v>6513053.432</v>
      </c>
      <c r="D777">
        <v>39078.320590000003</v>
      </c>
      <c r="E777">
        <v>7815664.1179999998</v>
      </c>
      <c r="F777" t="s">
        <v>17</v>
      </c>
      <c r="G777" t="s">
        <v>32</v>
      </c>
      <c r="H777" t="s">
        <v>16</v>
      </c>
      <c r="I777" t="s">
        <v>16</v>
      </c>
      <c r="J777" t="s">
        <v>16</v>
      </c>
      <c r="K777" t="s">
        <v>16</v>
      </c>
      <c r="L777" t="s">
        <v>695</v>
      </c>
      <c r="M777" t="str">
        <f t="shared" si="31"/>
        <v>abx_challengedresearch</v>
      </c>
      <c r="N777" t="s">
        <v>28</v>
      </c>
      <c r="O777" t="s">
        <v>696</v>
      </c>
      <c r="P777" t="s">
        <v>719</v>
      </c>
      <c r="Q777">
        <v>39078.320590000003</v>
      </c>
    </row>
    <row r="778" spans="1:17" x14ac:dyDescent="0.2">
      <c r="A778" t="s">
        <v>722</v>
      </c>
      <c r="B778" s="1">
        <v>0</v>
      </c>
      <c r="C778" t="s">
        <v>16</v>
      </c>
      <c r="D778">
        <v>0</v>
      </c>
      <c r="E778">
        <v>0</v>
      </c>
      <c r="F778" t="s">
        <v>19</v>
      </c>
      <c r="G778" t="s">
        <v>36</v>
      </c>
      <c r="H778" t="s">
        <v>37</v>
      </c>
      <c r="I778">
        <v>0</v>
      </c>
      <c r="J778" t="s">
        <v>37</v>
      </c>
      <c r="K778">
        <v>0</v>
      </c>
      <c r="L778" t="s">
        <v>695</v>
      </c>
      <c r="M778" t="str">
        <f t="shared" si="31"/>
        <v>controlresearch</v>
      </c>
      <c r="N778" t="s">
        <v>28</v>
      </c>
      <c r="O778" t="s">
        <v>696</v>
      </c>
      <c r="P778" t="s">
        <v>719</v>
      </c>
      <c r="Q778" t="s">
        <v>16</v>
      </c>
    </row>
    <row r="779" spans="1:17" x14ac:dyDescent="0.2">
      <c r="A779" t="s">
        <v>1111</v>
      </c>
      <c r="B779" s="1">
        <v>0</v>
      </c>
      <c r="C779">
        <v>1687992921</v>
      </c>
      <c r="D779">
        <v>101279575.3</v>
      </c>
      <c r="E779">
        <v>20255915051</v>
      </c>
      <c r="F779" t="s">
        <v>33</v>
      </c>
      <c r="G779" t="s">
        <v>36</v>
      </c>
      <c r="H779" t="s">
        <v>38</v>
      </c>
      <c r="I779">
        <v>35097198.329999998</v>
      </c>
      <c r="J779" t="s">
        <v>38</v>
      </c>
      <c r="K779">
        <v>180220421</v>
      </c>
      <c r="L779" t="s">
        <v>695</v>
      </c>
      <c r="M779" t="str">
        <f t="shared" ref="M779:M849" si="36">CONCATENATE(G779, L779)</f>
        <v>controlresearch</v>
      </c>
      <c r="N779" t="s">
        <v>28</v>
      </c>
      <c r="O779" t="s">
        <v>696</v>
      </c>
      <c r="P779" t="s">
        <v>719</v>
      </c>
      <c r="Q779" t="s">
        <v>16</v>
      </c>
    </row>
    <row r="780" spans="1:17" x14ac:dyDescent="0.2">
      <c r="A780" t="s">
        <v>723</v>
      </c>
      <c r="B780" s="1">
        <v>0</v>
      </c>
      <c r="C780" t="s">
        <v>16</v>
      </c>
      <c r="D780">
        <v>0</v>
      </c>
      <c r="E780">
        <v>0</v>
      </c>
      <c r="F780" t="s">
        <v>17</v>
      </c>
      <c r="G780" t="s">
        <v>36</v>
      </c>
      <c r="H780" t="s">
        <v>38</v>
      </c>
      <c r="I780">
        <v>122025484.59999999</v>
      </c>
      <c r="J780" t="s">
        <v>38</v>
      </c>
      <c r="K780">
        <v>7815664.1179999998</v>
      </c>
      <c r="L780" t="s">
        <v>695</v>
      </c>
      <c r="M780" t="str">
        <f t="shared" si="36"/>
        <v>controlresearch</v>
      </c>
      <c r="N780" t="s">
        <v>28</v>
      </c>
      <c r="O780" t="s">
        <v>696</v>
      </c>
      <c r="P780" t="s">
        <v>719</v>
      </c>
      <c r="Q780" t="s">
        <v>16</v>
      </c>
    </row>
    <row r="781" spans="1:17" x14ac:dyDescent="0.2">
      <c r="A781" t="s">
        <v>724</v>
      </c>
      <c r="B781">
        <v>0.14948134199999999</v>
      </c>
      <c r="C781" t="s">
        <v>16</v>
      </c>
      <c r="D781">
        <v>0</v>
      </c>
      <c r="E781">
        <v>0</v>
      </c>
      <c r="F781" t="s">
        <v>19</v>
      </c>
      <c r="G781" t="s">
        <v>41</v>
      </c>
      <c r="H781" t="s">
        <v>16</v>
      </c>
      <c r="I781" t="s">
        <v>16</v>
      </c>
      <c r="J781" t="s">
        <v>16</v>
      </c>
      <c r="K781" t="s">
        <v>16</v>
      </c>
      <c r="L781" t="s">
        <v>695</v>
      </c>
      <c r="M781" t="str">
        <f t="shared" si="36"/>
        <v>challengedresearch</v>
      </c>
      <c r="N781" t="s">
        <v>28</v>
      </c>
      <c r="O781" t="s">
        <v>696</v>
      </c>
      <c r="P781" t="s">
        <v>719</v>
      </c>
      <c r="Q781">
        <v>0</v>
      </c>
    </row>
    <row r="782" spans="1:17" x14ac:dyDescent="0.2">
      <c r="A782" t="s">
        <v>725</v>
      </c>
      <c r="B782">
        <v>0.16927932000000001</v>
      </c>
      <c r="C782">
        <v>10168790.390000001</v>
      </c>
      <c r="D782">
        <v>610127.42319999996</v>
      </c>
      <c r="E782">
        <v>122025484.59999999</v>
      </c>
      <c r="F782" t="s">
        <v>17</v>
      </c>
      <c r="G782" t="s">
        <v>41</v>
      </c>
      <c r="H782" t="s">
        <v>16</v>
      </c>
      <c r="I782" t="s">
        <v>16</v>
      </c>
      <c r="J782" t="s">
        <v>16</v>
      </c>
      <c r="K782" t="s">
        <v>16</v>
      </c>
      <c r="L782" t="s">
        <v>695</v>
      </c>
      <c r="M782" t="str">
        <f t="shared" si="36"/>
        <v>challengedresearch</v>
      </c>
      <c r="N782" t="s">
        <v>28</v>
      </c>
      <c r="O782" t="s">
        <v>696</v>
      </c>
      <c r="P782" t="s">
        <v>719</v>
      </c>
      <c r="Q782">
        <v>610127.42319999996</v>
      </c>
    </row>
    <row r="783" spans="1:17" x14ac:dyDescent="0.2">
      <c r="A783" t="s">
        <v>1172</v>
      </c>
      <c r="B783" s="1">
        <v>0.18210084000000001</v>
      </c>
      <c r="C783">
        <v>2105831.9</v>
      </c>
      <c r="D783">
        <f>(C783*50)/(3*200)</f>
        <v>175485.99166666667</v>
      </c>
      <c r="E783">
        <f>D783*200</f>
        <v>35097198.333333336</v>
      </c>
      <c r="F783" t="s">
        <v>33</v>
      </c>
      <c r="G783" t="s">
        <v>41</v>
      </c>
      <c r="H783" t="s">
        <v>16</v>
      </c>
      <c r="I783" t="s">
        <v>16</v>
      </c>
      <c r="J783" t="s">
        <v>16</v>
      </c>
      <c r="K783" t="s">
        <v>16</v>
      </c>
      <c r="L783" t="s">
        <v>695</v>
      </c>
      <c r="M783" t="str">
        <f t="shared" ref="M783:M784" si="37">CONCATENATE(G783, L783)</f>
        <v>challengedresearch</v>
      </c>
      <c r="N783" t="s">
        <v>28</v>
      </c>
      <c r="O783" t="s">
        <v>696</v>
      </c>
    </row>
    <row r="784" spans="1:17" x14ac:dyDescent="0.2">
      <c r="A784" t="s">
        <v>726</v>
      </c>
      <c r="B784" t="s">
        <v>16</v>
      </c>
      <c r="C784" t="s">
        <v>16</v>
      </c>
      <c r="D784" t="s">
        <v>16</v>
      </c>
      <c r="E784" t="s">
        <v>16</v>
      </c>
      <c r="F784" t="s">
        <v>26</v>
      </c>
      <c r="G784" t="s">
        <v>41</v>
      </c>
      <c r="H784" t="s">
        <v>16</v>
      </c>
      <c r="I784" t="s">
        <v>16</v>
      </c>
      <c r="J784" t="s">
        <v>16</v>
      </c>
      <c r="K784" t="s">
        <v>16</v>
      </c>
      <c r="L784" t="s">
        <v>695</v>
      </c>
      <c r="M784" t="str">
        <f t="shared" si="37"/>
        <v>challengedresearch</v>
      </c>
      <c r="N784" t="s">
        <v>28</v>
      </c>
      <c r="O784" t="s">
        <v>696</v>
      </c>
      <c r="P784" t="s">
        <v>727</v>
      </c>
      <c r="Q784" t="s">
        <v>16</v>
      </c>
    </row>
    <row r="785" spans="1:17" x14ac:dyDescent="0.2">
      <c r="A785" t="s">
        <v>728</v>
      </c>
      <c r="B785">
        <v>9.5233209999999999E-2</v>
      </c>
      <c r="C785">
        <v>218.27522160000001</v>
      </c>
      <c r="D785">
        <v>20.21066866</v>
      </c>
      <c r="E785">
        <v>4042.1337330000001</v>
      </c>
      <c r="F785" t="s">
        <v>19</v>
      </c>
      <c r="G785" t="s">
        <v>32</v>
      </c>
      <c r="H785" t="s">
        <v>16</v>
      </c>
      <c r="I785" t="s">
        <v>16</v>
      </c>
      <c r="J785" t="s">
        <v>16</v>
      </c>
      <c r="K785" t="s">
        <v>16</v>
      </c>
      <c r="L785" t="s">
        <v>695</v>
      </c>
      <c r="M785" t="str">
        <f t="shared" si="36"/>
        <v>abx_challengedresearch</v>
      </c>
      <c r="N785" t="s">
        <v>28</v>
      </c>
      <c r="O785" t="s">
        <v>696</v>
      </c>
      <c r="P785" t="s">
        <v>727</v>
      </c>
      <c r="Q785">
        <v>20.21066866</v>
      </c>
    </row>
    <row r="786" spans="1:17" x14ac:dyDescent="0.2">
      <c r="A786" t="s">
        <v>1112</v>
      </c>
      <c r="B786">
        <v>0.140537045</v>
      </c>
      <c r="C786">
        <v>145443638.09999999</v>
      </c>
      <c r="D786">
        <v>872661.82860000001</v>
      </c>
      <c r="E786">
        <v>174532365.69999999</v>
      </c>
      <c r="F786" t="s">
        <v>33</v>
      </c>
      <c r="G786" t="s">
        <v>32</v>
      </c>
      <c r="H786" t="s">
        <v>16</v>
      </c>
      <c r="I786" t="s">
        <v>16</v>
      </c>
      <c r="J786" t="s">
        <v>16</v>
      </c>
      <c r="K786" t="s">
        <v>16</v>
      </c>
      <c r="L786" t="s">
        <v>695</v>
      </c>
      <c r="M786" t="str">
        <f t="shared" si="36"/>
        <v>abx_challengedresearch</v>
      </c>
      <c r="N786" t="s">
        <v>28</v>
      </c>
      <c r="O786" t="s">
        <v>696</v>
      </c>
      <c r="P786" t="s">
        <v>727</v>
      </c>
      <c r="Q786">
        <v>868700.80440000002</v>
      </c>
    </row>
    <row r="787" spans="1:17" x14ac:dyDescent="0.2">
      <c r="A787" t="s">
        <v>729</v>
      </c>
      <c r="B787">
        <v>0.26589341500000002</v>
      </c>
      <c r="C787">
        <v>660170.70220000006</v>
      </c>
      <c r="D787">
        <v>3961.0242130000001</v>
      </c>
      <c r="E787">
        <v>792204.84270000004</v>
      </c>
      <c r="F787" t="s">
        <v>17</v>
      </c>
      <c r="G787" t="s">
        <v>32</v>
      </c>
      <c r="H787" t="s">
        <v>16</v>
      </c>
      <c r="I787" t="s">
        <v>16</v>
      </c>
      <c r="J787" t="s">
        <v>16</v>
      </c>
      <c r="K787" t="s">
        <v>16</v>
      </c>
      <c r="L787" t="s">
        <v>695</v>
      </c>
      <c r="M787" t="str">
        <f t="shared" si="36"/>
        <v>abx_challengedresearch</v>
      </c>
      <c r="N787" t="s">
        <v>28</v>
      </c>
      <c r="O787" t="s">
        <v>696</v>
      </c>
      <c r="P787" t="s">
        <v>727</v>
      </c>
      <c r="Q787">
        <v>3961.0242130000001</v>
      </c>
    </row>
    <row r="788" spans="1:17" x14ac:dyDescent="0.2">
      <c r="A788" t="s">
        <v>730</v>
      </c>
      <c r="B788" s="1">
        <v>0</v>
      </c>
      <c r="C788">
        <v>5.8375054310000003</v>
      </c>
      <c r="D788">
        <v>0</v>
      </c>
      <c r="E788">
        <v>0</v>
      </c>
      <c r="F788" t="s">
        <v>19</v>
      </c>
      <c r="G788" t="s">
        <v>36</v>
      </c>
      <c r="H788" t="s">
        <v>37</v>
      </c>
      <c r="I788">
        <v>0</v>
      </c>
      <c r="J788" t="s">
        <v>37</v>
      </c>
      <c r="K788">
        <v>4042.1337330000001</v>
      </c>
      <c r="L788" t="s">
        <v>695</v>
      </c>
      <c r="M788" t="str">
        <f t="shared" si="36"/>
        <v>controlresearch</v>
      </c>
      <c r="N788" t="s">
        <v>28</v>
      </c>
      <c r="O788" t="s">
        <v>696</v>
      </c>
      <c r="P788" t="s">
        <v>727</v>
      </c>
      <c r="Q788" t="s">
        <v>16</v>
      </c>
    </row>
    <row r="789" spans="1:17" x14ac:dyDescent="0.2">
      <c r="A789" t="s">
        <v>1113</v>
      </c>
      <c r="B789" s="1">
        <v>0</v>
      </c>
      <c r="C789">
        <v>132447198.09999999</v>
      </c>
      <c r="D789">
        <v>7946831.8880000003</v>
      </c>
      <c r="E789">
        <v>1589366378</v>
      </c>
      <c r="F789" t="s">
        <v>33</v>
      </c>
      <c r="G789" t="s">
        <v>36</v>
      </c>
      <c r="H789" t="s">
        <v>38</v>
      </c>
      <c r="I789">
        <v>7183983.3329999996</v>
      </c>
      <c r="J789" t="s">
        <v>38</v>
      </c>
      <c r="K789">
        <v>174532365.69999999</v>
      </c>
      <c r="L789" t="s">
        <v>695</v>
      </c>
      <c r="M789" t="str">
        <f t="shared" si="36"/>
        <v>controlresearch</v>
      </c>
      <c r="N789" t="s">
        <v>28</v>
      </c>
      <c r="O789" t="s">
        <v>696</v>
      </c>
      <c r="P789" t="s">
        <v>727</v>
      </c>
      <c r="Q789" t="s">
        <v>16</v>
      </c>
    </row>
    <row r="790" spans="1:17" x14ac:dyDescent="0.2">
      <c r="A790" t="s">
        <v>731</v>
      </c>
      <c r="B790" s="1">
        <v>0</v>
      </c>
      <c r="C790" t="s">
        <v>16</v>
      </c>
      <c r="D790">
        <v>0</v>
      </c>
      <c r="E790">
        <v>0</v>
      </c>
      <c r="F790" t="s">
        <v>17</v>
      </c>
      <c r="G790" t="s">
        <v>36</v>
      </c>
      <c r="H790" t="s">
        <v>38</v>
      </c>
      <c r="I790">
        <v>306901595.60000002</v>
      </c>
      <c r="J790" t="s">
        <v>37</v>
      </c>
      <c r="K790">
        <v>792204.84270000004</v>
      </c>
      <c r="L790" t="s">
        <v>695</v>
      </c>
      <c r="M790" t="str">
        <f t="shared" si="36"/>
        <v>controlresearch</v>
      </c>
      <c r="N790" t="s">
        <v>28</v>
      </c>
      <c r="O790" t="s">
        <v>696</v>
      </c>
      <c r="P790" t="s">
        <v>727</v>
      </c>
      <c r="Q790" t="s">
        <v>16</v>
      </c>
    </row>
    <row r="791" spans="1:17" x14ac:dyDescent="0.2">
      <c r="A791" t="s">
        <v>732</v>
      </c>
      <c r="B791">
        <v>4.7758191999999998E-2</v>
      </c>
      <c r="C791">
        <v>1.014091233</v>
      </c>
      <c r="D791">
        <v>0</v>
      </c>
      <c r="E791">
        <v>0</v>
      </c>
      <c r="F791" t="s">
        <v>19</v>
      </c>
      <c r="G791" t="s">
        <v>41</v>
      </c>
      <c r="H791" t="s">
        <v>16</v>
      </c>
      <c r="I791" t="s">
        <v>16</v>
      </c>
      <c r="J791" t="s">
        <v>16</v>
      </c>
      <c r="K791" t="s">
        <v>16</v>
      </c>
      <c r="L791" t="s">
        <v>695</v>
      </c>
      <c r="M791" t="str">
        <f t="shared" si="36"/>
        <v>challengedresearch</v>
      </c>
      <c r="N791" t="s">
        <v>28</v>
      </c>
      <c r="O791" t="s">
        <v>696</v>
      </c>
      <c r="P791" t="s">
        <v>727</v>
      </c>
      <c r="Q791">
        <v>0</v>
      </c>
    </row>
    <row r="792" spans="1:17" x14ac:dyDescent="0.2">
      <c r="A792" t="s">
        <v>733</v>
      </c>
      <c r="B792">
        <v>0.121929829</v>
      </c>
      <c r="C792">
        <v>25575132.969999999</v>
      </c>
      <c r="D792">
        <v>1534507.9779999999</v>
      </c>
      <c r="E792">
        <v>306901595.60000002</v>
      </c>
      <c r="F792" t="s">
        <v>17</v>
      </c>
      <c r="G792" t="s">
        <v>41</v>
      </c>
      <c r="H792" t="s">
        <v>16</v>
      </c>
      <c r="I792" t="s">
        <v>16</v>
      </c>
      <c r="J792" t="s">
        <v>16</v>
      </c>
      <c r="K792" t="s">
        <v>16</v>
      </c>
      <c r="L792" t="s">
        <v>695</v>
      </c>
      <c r="M792" t="str">
        <f t="shared" si="36"/>
        <v>challengedresearch</v>
      </c>
      <c r="N792" t="s">
        <v>28</v>
      </c>
      <c r="O792" t="s">
        <v>696</v>
      </c>
      <c r="P792" t="s">
        <v>727</v>
      </c>
      <c r="Q792">
        <v>1534507.9779999999</v>
      </c>
    </row>
    <row r="793" spans="1:17" x14ac:dyDescent="0.2">
      <c r="A793" t="s">
        <v>1171</v>
      </c>
      <c r="B793" s="1">
        <v>9.2130811000000007E-2</v>
      </c>
      <c r="C793">
        <v>431039</v>
      </c>
      <c r="D793">
        <f>(C793*50)/(3*200)</f>
        <v>35919.916666666664</v>
      </c>
      <c r="E793">
        <f>D793*200</f>
        <v>7183983.333333333</v>
      </c>
      <c r="F793" t="s">
        <v>33</v>
      </c>
      <c r="G793" t="s">
        <v>41</v>
      </c>
      <c r="H793" t="s">
        <v>16</v>
      </c>
      <c r="I793" t="s">
        <v>16</v>
      </c>
      <c r="J793" t="s">
        <v>16</v>
      </c>
      <c r="K793" t="s">
        <v>16</v>
      </c>
      <c r="L793" t="s">
        <v>695</v>
      </c>
      <c r="M793" t="str">
        <f t="shared" ref="M793" si="38">CONCATENATE(G793, L793)</f>
        <v>challengedresearch</v>
      </c>
      <c r="N793" t="s">
        <v>28</v>
      </c>
      <c r="O793" t="s">
        <v>696</v>
      </c>
      <c r="P793" t="s">
        <v>727</v>
      </c>
    </row>
    <row r="794" spans="1:17" x14ac:dyDescent="0.2">
      <c r="A794" t="s">
        <v>734</v>
      </c>
      <c r="B794" t="s">
        <v>16</v>
      </c>
      <c r="C794" t="s">
        <v>16</v>
      </c>
      <c r="D794" t="s">
        <v>16</v>
      </c>
      <c r="E794" t="s">
        <v>16</v>
      </c>
      <c r="F794" t="s">
        <v>26</v>
      </c>
      <c r="G794" t="s">
        <v>26</v>
      </c>
      <c r="H794" t="s">
        <v>16</v>
      </c>
      <c r="I794" t="s">
        <v>16</v>
      </c>
      <c r="J794" t="s">
        <v>16</v>
      </c>
      <c r="K794" t="s">
        <v>16</v>
      </c>
      <c r="L794" t="s">
        <v>695</v>
      </c>
      <c r="M794" t="str">
        <f t="shared" si="36"/>
        <v>fecalresearch</v>
      </c>
      <c r="N794" t="s">
        <v>28</v>
      </c>
      <c r="O794" t="s">
        <v>696</v>
      </c>
      <c r="P794" t="s">
        <v>735</v>
      </c>
      <c r="Q794" t="s">
        <v>16</v>
      </c>
    </row>
    <row r="795" spans="1:17" x14ac:dyDescent="0.2">
      <c r="A795" t="s">
        <v>736</v>
      </c>
      <c r="B795">
        <v>0.18619349700000001</v>
      </c>
      <c r="C795">
        <v>68.432550699999993</v>
      </c>
      <c r="D795">
        <v>0</v>
      </c>
      <c r="E795">
        <v>0</v>
      </c>
      <c r="F795" t="s">
        <v>19</v>
      </c>
      <c r="G795" t="s">
        <v>32</v>
      </c>
      <c r="H795" t="s">
        <v>16</v>
      </c>
      <c r="I795" t="s">
        <v>16</v>
      </c>
      <c r="J795" t="s">
        <v>16</v>
      </c>
      <c r="K795" t="s">
        <v>16</v>
      </c>
      <c r="L795" t="s">
        <v>695</v>
      </c>
      <c r="M795" t="str">
        <f t="shared" si="36"/>
        <v>abx_challengedresearch</v>
      </c>
      <c r="N795" t="s">
        <v>28</v>
      </c>
      <c r="O795" t="s">
        <v>696</v>
      </c>
      <c r="P795" t="s">
        <v>735</v>
      </c>
      <c r="Q795">
        <v>0</v>
      </c>
    </row>
    <row r="796" spans="1:17" x14ac:dyDescent="0.2">
      <c r="A796" t="s">
        <v>1114</v>
      </c>
      <c r="B796" s="1">
        <v>0.11948879</v>
      </c>
      <c r="C796">
        <v>524795853.10000002</v>
      </c>
      <c r="D796">
        <v>3148775.1179999998</v>
      </c>
      <c r="E796">
        <v>629755023.70000005</v>
      </c>
      <c r="F796" t="s">
        <v>33</v>
      </c>
      <c r="G796" t="s">
        <v>32</v>
      </c>
      <c r="H796" t="s">
        <v>16</v>
      </c>
      <c r="I796" t="s">
        <v>16</v>
      </c>
      <c r="J796" t="s">
        <v>16</v>
      </c>
      <c r="K796" t="s">
        <v>16</v>
      </c>
      <c r="L796" t="s">
        <v>695</v>
      </c>
      <c r="M796" t="str">
        <f t="shared" si="36"/>
        <v>abx_challengedresearch</v>
      </c>
      <c r="N796" t="s">
        <v>28</v>
      </c>
      <c r="O796" t="s">
        <v>696</v>
      </c>
      <c r="P796" t="s">
        <v>735</v>
      </c>
      <c r="Q796">
        <v>3129691.6269999999</v>
      </c>
    </row>
    <row r="797" spans="1:17" x14ac:dyDescent="0.2">
      <c r="A797" t="s">
        <v>737</v>
      </c>
      <c r="B797">
        <v>0.27782941100000003</v>
      </c>
      <c r="C797">
        <v>3180581.8879999998</v>
      </c>
      <c r="D797">
        <v>19083.491330000001</v>
      </c>
      <c r="E797">
        <v>3816698.2659999998</v>
      </c>
      <c r="F797" t="s">
        <v>17</v>
      </c>
      <c r="G797" t="s">
        <v>32</v>
      </c>
      <c r="H797" t="s">
        <v>16</v>
      </c>
      <c r="I797" t="s">
        <v>16</v>
      </c>
      <c r="J797" t="s">
        <v>16</v>
      </c>
      <c r="K797" t="s">
        <v>16</v>
      </c>
      <c r="L797" t="s">
        <v>695</v>
      </c>
      <c r="M797" t="str">
        <f t="shared" si="36"/>
        <v>abx_challengedresearch</v>
      </c>
      <c r="N797" t="s">
        <v>28</v>
      </c>
      <c r="O797" t="s">
        <v>696</v>
      </c>
      <c r="P797" t="s">
        <v>735</v>
      </c>
      <c r="Q797">
        <v>19083.491330000001</v>
      </c>
    </row>
    <row r="798" spans="1:17" x14ac:dyDescent="0.2">
      <c r="A798" t="s">
        <v>738</v>
      </c>
      <c r="B798" s="1">
        <v>0</v>
      </c>
      <c r="C798" t="s">
        <v>16</v>
      </c>
      <c r="D798">
        <v>0</v>
      </c>
      <c r="E798">
        <v>0</v>
      </c>
      <c r="F798" t="s">
        <v>19</v>
      </c>
      <c r="G798" t="s">
        <v>36</v>
      </c>
      <c r="H798" t="s">
        <v>37</v>
      </c>
      <c r="I798">
        <v>0</v>
      </c>
      <c r="J798" t="s">
        <v>37</v>
      </c>
      <c r="K798">
        <v>0</v>
      </c>
      <c r="L798" t="s">
        <v>695</v>
      </c>
      <c r="M798" t="str">
        <f t="shared" si="36"/>
        <v>controlresearch</v>
      </c>
      <c r="N798" t="s">
        <v>28</v>
      </c>
      <c r="O798" t="s">
        <v>696</v>
      </c>
      <c r="P798" t="s">
        <v>735</v>
      </c>
      <c r="Q798" t="s">
        <v>16</v>
      </c>
    </row>
    <row r="799" spans="1:17" x14ac:dyDescent="0.2">
      <c r="A799" t="s">
        <v>1115</v>
      </c>
      <c r="B799" s="1">
        <v>0</v>
      </c>
      <c r="C799">
        <v>1317599151</v>
      </c>
      <c r="D799">
        <v>79055949.060000002</v>
      </c>
      <c r="E799">
        <v>15811189813</v>
      </c>
      <c r="F799" t="s">
        <v>33</v>
      </c>
      <c r="G799" t="s">
        <v>36</v>
      </c>
      <c r="H799" t="s">
        <v>38</v>
      </c>
      <c r="I799">
        <v>18232337</v>
      </c>
      <c r="J799" t="s">
        <v>38</v>
      </c>
      <c r="K799">
        <v>629755023.70000005</v>
      </c>
      <c r="L799" t="s">
        <v>695</v>
      </c>
      <c r="M799" t="str">
        <f t="shared" si="36"/>
        <v>controlresearch</v>
      </c>
      <c r="N799" t="s">
        <v>28</v>
      </c>
      <c r="O799" t="s">
        <v>696</v>
      </c>
      <c r="P799" t="s">
        <v>735</v>
      </c>
      <c r="Q799" t="s">
        <v>16</v>
      </c>
    </row>
    <row r="800" spans="1:17" x14ac:dyDescent="0.2">
      <c r="A800" t="s">
        <v>739</v>
      </c>
      <c r="B800" s="1">
        <v>0</v>
      </c>
      <c r="C800" t="s">
        <v>16</v>
      </c>
      <c r="D800">
        <v>0</v>
      </c>
      <c r="E800">
        <v>0</v>
      </c>
      <c r="F800" t="s">
        <v>17</v>
      </c>
      <c r="G800" t="s">
        <v>36</v>
      </c>
      <c r="H800" t="s">
        <v>38</v>
      </c>
      <c r="I800">
        <v>110753804.3</v>
      </c>
      <c r="J800" t="s">
        <v>38</v>
      </c>
      <c r="K800">
        <v>3816698.2659999998</v>
      </c>
      <c r="L800" t="s">
        <v>695</v>
      </c>
      <c r="M800" t="str">
        <f t="shared" si="36"/>
        <v>controlresearch</v>
      </c>
      <c r="N800" t="s">
        <v>28</v>
      </c>
      <c r="O800" t="s">
        <v>696</v>
      </c>
      <c r="P800" t="s">
        <v>735</v>
      </c>
      <c r="Q800" t="s">
        <v>16</v>
      </c>
    </row>
    <row r="801" spans="1:17" x14ac:dyDescent="0.2">
      <c r="A801" t="s">
        <v>740</v>
      </c>
      <c r="B801">
        <v>0.161875725</v>
      </c>
      <c r="C801">
        <v>11.21840441</v>
      </c>
      <c r="D801">
        <v>0</v>
      </c>
      <c r="E801">
        <v>0</v>
      </c>
      <c r="F801" t="s">
        <v>19</v>
      </c>
      <c r="G801" t="s">
        <v>41</v>
      </c>
      <c r="H801" t="s">
        <v>16</v>
      </c>
      <c r="I801" t="s">
        <v>16</v>
      </c>
      <c r="J801" t="s">
        <v>16</v>
      </c>
      <c r="K801" t="s">
        <v>16</v>
      </c>
      <c r="L801" t="s">
        <v>695</v>
      </c>
      <c r="M801" t="str">
        <f t="shared" si="36"/>
        <v>challengedresearch</v>
      </c>
      <c r="N801" t="s">
        <v>28</v>
      </c>
      <c r="O801" t="s">
        <v>696</v>
      </c>
      <c r="P801" t="s">
        <v>735</v>
      </c>
      <c r="Q801">
        <v>0</v>
      </c>
    </row>
    <row r="802" spans="1:17" x14ac:dyDescent="0.2">
      <c r="A802" t="s">
        <v>741</v>
      </c>
      <c r="B802">
        <v>0.12124515399999999</v>
      </c>
      <c r="C802">
        <v>9229483.6879999992</v>
      </c>
      <c r="D802">
        <v>553769.02130000002</v>
      </c>
      <c r="E802">
        <v>110753804.3</v>
      </c>
      <c r="F802" t="s">
        <v>17</v>
      </c>
      <c r="G802" t="s">
        <v>41</v>
      </c>
      <c r="H802" t="s">
        <v>16</v>
      </c>
      <c r="I802" t="s">
        <v>16</v>
      </c>
      <c r="J802" t="s">
        <v>16</v>
      </c>
      <c r="K802" t="s">
        <v>16</v>
      </c>
      <c r="L802" t="s">
        <v>695</v>
      </c>
      <c r="M802" t="str">
        <f t="shared" si="36"/>
        <v>challengedresearch</v>
      </c>
      <c r="N802" t="s">
        <v>28</v>
      </c>
      <c r="O802" t="s">
        <v>696</v>
      </c>
      <c r="P802" t="s">
        <v>735</v>
      </c>
      <c r="Q802">
        <v>553769.02130000002</v>
      </c>
    </row>
    <row r="803" spans="1:17" x14ac:dyDescent="0.2">
      <c r="A803" t="s">
        <v>1170</v>
      </c>
      <c r="B803" s="1">
        <v>0.192004232</v>
      </c>
      <c r="C803">
        <v>1093940.22</v>
      </c>
      <c r="D803">
        <f>(C803*50)/(3*200)</f>
        <v>91161.684999999998</v>
      </c>
      <c r="E803">
        <f>D803*200</f>
        <v>18232337</v>
      </c>
      <c r="F803" t="s">
        <v>33</v>
      </c>
      <c r="G803" t="s">
        <v>41</v>
      </c>
      <c r="H803" t="s">
        <v>16</v>
      </c>
      <c r="I803" t="s">
        <v>16</v>
      </c>
      <c r="J803" t="s">
        <v>16</v>
      </c>
      <c r="K803" t="s">
        <v>16</v>
      </c>
      <c r="L803" t="s">
        <v>695</v>
      </c>
      <c r="M803" t="str">
        <f t="shared" ref="M803" si="39">CONCATENATE(G803, L803)</f>
        <v>challengedresearch</v>
      </c>
      <c r="N803" t="s">
        <v>28</v>
      </c>
      <c r="O803" t="s">
        <v>696</v>
      </c>
      <c r="P803" t="s">
        <v>735</v>
      </c>
    </row>
    <row r="804" spans="1:17" x14ac:dyDescent="0.2">
      <c r="A804" t="s">
        <v>742</v>
      </c>
      <c r="B804" t="s">
        <v>16</v>
      </c>
      <c r="C804" t="s">
        <v>16</v>
      </c>
      <c r="D804" t="s">
        <v>16</v>
      </c>
      <c r="E804" t="s">
        <v>16</v>
      </c>
      <c r="F804" t="s">
        <v>26</v>
      </c>
      <c r="G804" t="s">
        <v>26</v>
      </c>
      <c r="H804" t="s">
        <v>16</v>
      </c>
      <c r="I804" t="s">
        <v>16</v>
      </c>
      <c r="J804" t="s">
        <v>16</v>
      </c>
      <c r="K804" t="s">
        <v>16</v>
      </c>
      <c r="L804" t="s">
        <v>695</v>
      </c>
      <c r="M804" t="str">
        <f t="shared" si="36"/>
        <v>fecalresearch</v>
      </c>
      <c r="N804" t="s">
        <v>28</v>
      </c>
      <c r="O804" t="s">
        <v>696</v>
      </c>
      <c r="P804" t="s">
        <v>743</v>
      </c>
      <c r="Q804" t="s">
        <v>16</v>
      </c>
    </row>
    <row r="805" spans="1:17" x14ac:dyDescent="0.2">
      <c r="A805" t="s">
        <v>744</v>
      </c>
      <c r="B805">
        <v>0.17988539200000001</v>
      </c>
      <c r="C805" t="s">
        <v>16</v>
      </c>
      <c r="D805">
        <v>0</v>
      </c>
      <c r="E805">
        <v>0</v>
      </c>
      <c r="F805" t="s">
        <v>19</v>
      </c>
      <c r="G805" t="s">
        <v>32</v>
      </c>
      <c r="H805" t="s">
        <v>16</v>
      </c>
      <c r="I805" t="s">
        <v>16</v>
      </c>
      <c r="J805" t="s">
        <v>16</v>
      </c>
      <c r="K805" t="s">
        <v>16</v>
      </c>
      <c r="L805" t="s">
        <v>695</v>
      </c>
      <c r="M805" t="str">
        <f t="shared" si="36"/>
        <v>abx_challengedresearch</v>
      </c>
      <c r="N805" t="s">
        <v>28</v>
      </c>
      <c r="O805" t="s">
        <v>696</v>
      </c>
      <c r="P805" t="s">
        <v>743</v>
      </c>
      <c r="Q805">
        <v>0</v>
      </c>
    </row>
    <row r="806" spans="1:17" x14ac:dyDescent="0.2">
      <c r="A806" t="s">
        <v>1116</v>
      </c>
      <c r="B806">
        <v>0.14348670199999999</v>
      </c>
      <c r="C806">
        <v>108454701.7</v>
      </c>
      <c r="D806">
        <v>650728.21050000004</v>
      </c>
      <c r="E806">
        <v>130145642.09999999</v>
      </c>
      <c r="F806" t="s">
        <v>33</v>
      </c>
      <c r="G806" t="s">
        <v>32</v>
      </c>
      <c r="H806" t="s">
        <v>16</v>
      </c>
      <c r="I806" t="s">
        <v>16</v>
      </c>
      <c r="J806" t="s">
        <v>16</v>
      </c>
      <c r="K806" t="s">
        <v>16</v>
      </c>
      <c r="L806" t="s">
        <v>695</v>
      </c>
      <c r="M806" t="str">
        <f t="shared" si="36"/>
        <v>abx_challengedresearch</v>
      </c>
      <c r="N806" t="s">
        <v>28</v>
      </c>
      <c r="O806" t="s">
        <v>696</v>
      </c>
      <c r="P806" t="s">
        <v>743</v>
      </c>
      <c r="Q806">
        <v>552853.00349999999</v>
      </c>
    </row>
    <row r="807" spans="1:17" x14ac:dyDescent="0.2">
      <c r="A807" t="s">
        <v>745</v>
      </c>
      <c r="B807">
        <v>0.20996388199999999</v>
      </c>
      <c r="C807">
        <v>16312534.51</v>
      </c>
      <c r="D807">
        <v>97875.207039999994</v>
      </c>
      <c r="E807">
        <v>19575041.41</v>
      </c>
      <c r="F807" t="s">
        <v>17</v>
      </c>
      <c r="G807" t="s">
        <v>32</v>
      </c>
      <c r="H807" t="s">
        <v>16</v>
      </c>
      <c r="I807" t="s">
        <v>16</v>
      </c>
      <c r="J807" t="s">
        <v>16</v>
      </c>
      <c r="K807" t="s">
        <v>16</v>
      </c>
      <c r="L807" t="s">
        <v>695</v>
      </c>
      <c r="M807" t="str">
        <f t="shared" si="36"/>
        <v>abx_challengedresearch</v>
      </c>
      <c r="N807" t="s">
        <v>28</v>
      </c>
      <c r="O807" t="s">
        <v>696</v>
      </c>
      <c r="P807" t="s">
        <v>743</v>
      </c>
      <c r="Q807">
        <v>97875.207039999994</v>
      </c>
    </row>
    <row r="808" spans="1:17" x14ac:dyDescent="0.2">
      <c r="A808" t="s">
        <v>746</v>
      </c>
      <c r="B808" s="1">
        <v>0</v>
      </c>
      <c r="C808">
        <v>3.8556252889999998</v>
      </c>
      <c r="D808">
        <v>0</v>
      </c>
      <c r="E808">
        <v>0</v>
      </c>
      <c r="F808" t="s">
        <v>19</v>
      </c>
      <c r="G808" t="s">
        <v>36</v>
      </c>
      <c r="H808" t="s">
        <v>37</v>
      </c>
      <c r="I808">
        <v>0</v>
      </c>
      <c r="J808" t="s">
        <v>37</v>
      </c>
      <c r="K808">
        <v>0</v>
      </c>
      <c r="L808" t="s">
        <v>695</v>
      </c>
      <c r="M808" t="str">
        <f t="shared" si="36"/>
        <v>controlresearch</v>
      </c>
      <c r="N808" t="s">
        <v>28</v>
      </c>
      <c r="O808" t="s">
        <v>696</v>
      </c>
      <c r="P808" t="s">
        <v>743</v>
      </c>
      <c r="Q808" t="s">
        <v>16</v>
      </c>
    </row>
    <row r="809" spans="1:17" x14ac:dyDescent="0.2">
      <c r="A809" t="s">
        <v>1117</v>
      </c>
      <c r="B809" s="1">
        <v>0</v>
      </c>
      <c r="C809">
        <v>821859565.39999998</v>
      </c>
      <c r="D809">
        <v>49311573.920000002</v>
      </c>
      <c r="E809">
        <v>9862314785</v>
      </c>
      <c r="F809" t="s">
        <v>33</v>
      </c>
      <c r="G809" t="s">
        <v>36</v>
      </c>
      <c r="H809" t="s">
        <v>38</v>
      </c>
      <c r="I809">
        <v>20673236.670000002</v>
      </c>
      <c r="J809" t="s">
        <v>38</v>
      </c>
      <c r="K809">
        <v>130145642.09999999</v>
      </c>
      <c r="L809" t="s">
        <v>695</v>
      </c>
      <c r="M809" t="str">
        <f t="shared" si="36"/>
        <v>controlresearch</v>
      </c>
      <c r="N809" t="s">
        <v>28</v>
      </c>
      <c r="O809" t="s">
        <v>696</v>
      </c>
      <c r="P809" t="s">
        <v>743</v>
      </c>
      <c r="Q809" t="s">
        <v>16</v>
      </c>
    </row>
    <row r="810" spans="1:17" x14ac:dyDescent="0.2">
      <c r="A810" t="s">
        <v>747</v>
      </c>
      <c r="B810" s="1">
        <v>0</v>
      </c>
      <c r="C810">
        <v>2717.6937929999999</v>
      </c>
      <c r="D810">
        <v>0</v>
      </c>
      <c r="E810">
        <v>0</v>
      </c>
      <c r="F810" t="s">
        <v>17</v>
      </c>
      <c r="G810" t="s">
        <v>36</v>
      </c>
      <c r="H810" t="s">
        <v>38</v>
      </c>
      <c r="I810">
        <v>527091940</v>
      </c>
      <c r="J810" t="s">
        <v>38</v>
      </c>
      <c r="K810">
        <v>19575041.41</v>
      </c>
      <c r="L810" t="s">
        <v>695</v>
      </c>
      <c r="M810" t="str">
        <f t="shared" si="36"/>
        <v>controlresearch</v>
      </c>
      <c r="N810" t="s">
        <v>28</v>
      </c>
      <c r="O810" t="s">
        <v>696</v>
      </c>
      <c r="P810" t="s">
        <v>743</v>
      </c>
      <c r="Q810" t="s">
        <v>16</v>
      </c>
    </row>
    <row r="811" spans="1:17" x14ac:dyDescent="0.2">
      <c r="A811" t="s">
        <v>748</v>
      </c>
      <c r="B811">
        <v>9.7185461000000001E-2</v>
      </c>
      <c r="C811" t="s">
        <v>16</v>
      </c>
      <c r="D811">
        <v>0</v>
      </c>
      <c r="E811">
        <v>0</v>
      </c>
      <c r="F811" t="s">
        <v>19</v>
      </c>
      <c r="G811" t="s">
        <v>41</v>
      </c>
      <c r="H811" t="s">
        <v>16</v>
      </c>
      <c r="I811" t="s">
        <v>16</v>
      </c>
      <c r="J811" t="s">
        <v>16</v>
      </c>
      <c r="K811" t="s">
        <v>16</v>
      </c>
      <c r="L811" t="s">
        <v>695</v>
      </c>
      <c r="M811" t="str">
        <f t="shared" si="36"/>
        <v>challengedresearch</v>
      </c>
      <c r="N811" t="s">
        <v>28</v>
      </c>
      <c r="O811" t="s">
        <v>696</v>
      </c>
      <c r="P811" t="s">
        <v>743</v>
      </c>
      <c r="Q811">
        <v>0</v>
      </c>
    </row>
    <row r="812" spans="1:17" x14ac:dyDescent="0.2">
      <c r="A812" t="s">
        <v>749</v>
      </c>
      <c r="B812">
        <v>0.20440592799999999</v>
      </c>
      <c r="C812">
        <v>43924328.340000004</v>
      </c>
      <c r="D812">
        <v>2635459.7000000002</v>
      </c>
      <c r="E812">
        <v>527091940</v>
      </c>
      <c r="F812" t="s">
        <v>17</v>
      </c>
      <c r="G812" t="s">
        <v>41</v>
      </c>
      <c r="H812" t="s">
        <v>16</v>
      </c>
      <c r="I812" t="s">
        <v>16</v>
      </c>
      <c r="J812" t="s">
        <v>16</v>
      </c>
      <c r="K812" t="s">
        <v>16</v>
      </c>
      <c r="L812" t="s">
        <v>695</v>
      </c>
      <c r="M812" t="str">
        <f t="shared" si="36"/>
        <v>challengedresearch</v>
      </c>
      <c r="N812" t="s">
        <v>28</v>
      </c>
      <c r="O812" t="s">
        <v>696</v>
      </c>
      <c r="P812" t="s">
        <v>743</v>
      </c>
      <c r="Q812">
        <v>2635459.7000000002</v>
      </c>
    </row>
    <row r="813" spans="1:17" x14ac:dyDescent="0.2">
      <c r="A813" t="s">
        <v>1169</v>
      </c>
      <c r="B813" s="1">
        <v>0.15830293400000001</v>
      </c>
      <c r="C813">
        <v>1240394.2</v>
      </c>
      <c r="D813">
        <f>(C813*50)/(3*200)</f>
        <v>103366.18333333333</v>
      </c>
      <c r="E813">
        <f>D813*200</f>
        <v>20673236.666666668</v>
      </c>
      <c r="F813" t="s">
        <v>33</v>
      </c>
      <c r="G813" t="s">
        <v>41</v>
      </c>
      <c r="H813" t="s">
        <v>16</v>
      </c>
      <c r="I813" t="s">
        <v>16</v>
      </c>
      <c r="J813" t="s">
        <v>16</v>
      </c>
      <c r="K813" t="s">
        <v>16</v>
      </c>
      <c r="L813" t="s">
        <v>695</v>
      </c>
      <c r="M813" t="str">
        <f t="shared" ref="M813" si="40">CONCATENATE(G813, L813)</f>
        <v>challengedresearch</v>
      </c>
      <c r="N813" t="s">
        <v>28</v>
      </c>
      <c r="O813" t="s">
        <v>696</v>
      </c>
      <c r="P813" t="s">
        <v>743</v>
      </c>
    </row>
    <row r="814" spans="1:17" x14ac:dyDescent="0.2">
      <c r="A814" t="s">
        <v>750</v>
      </c>
      <c r="B814" t="s">
        <v>16</v>
      </c>
      <c r="C814" t="s">
        <v>16</v>
      </c>
      <c r="D814" t="s">
        <v>16</v>
      </c>
      <c r="E814" t="s">
        <v>16</v>
      </c>
      <c r="F814" t="s">
        <v>26</v>
      </c>
      <c r="G814" t="s">
        <v>26</v>
      </c>
      <c r="H814" t="s">
        <v>16</v>
      </c>
      <c r="I814" t="s">
        <v>16</v>
      </c>
      <c r="J814" t="s">
        <v>16</v>
      </c>
      <c r="K814" t="s">
        <v>16</v>
      </c>
      <c r="L814" t="s">
        <v>695</v>
      </c>
      <c r="M814" t="str">
        <f t="shared" si="36"/>
        <v>fecalresearch</v>
      </c>
      <c r="N814" t="s">
        <v>28</v>
      </c>
      <c r="O814" t="s">
        <v>696</v>
      </c>
      <c r="P814" t="s">
        <v>751</v>
      </c>
      <c r="Q814" t="s">
        <v>16</v>
      </c>
    </row>
    <row r="815" spans="1:17" x14ac:dyDescent="0.2">
      <c r="A815" t="s">
        <v>752</v>
      </c>
      <c r="B815">
        <v>0.20550128100000001</v>
      </c>
      <c r="C815">
        <v>13.844933360000001</v>
      </c>
      <c r="D815">
        <v>0</v>
      </c>
      <c r="E815">
        <v>0</v>
      </c>
      <c r="F815" t="s">
        <v>19</v>
      </c>
      <c r="G815" t="s">
        <v>32</v>
      </c>
      <c r="H815" t="s">
        <v>16</v>
      </c>
      <c r="I815" t="s">
        <v>16</v>
      </c>
      <c r="J815" t="s">
        <v>16</v>
      </c>
      <c r="K815" t="s">
        <v>16</v>
      </c>
      <c r="L815" t="s">
        <v>695</v>
      </c>
      <c r="M815" t="str">
        <f t="shared" si="36"/>
        <v>abx_challengedresearch</v>
      </c>
      <c r="N815" t="s">
        <v>28</v>
      </c>
      <c r="O815" t="s">
        <v>696</v>
      </c>
      <c r="P815" t="s">
        <v>751</v>
      </c>
      <c r="Q815">
        <v>0</v>
      </c>
    </row>
    <row r="816" spans="1:17" x14ac:dyDescent="0.2">
      <c r="A816" t="s">
        <v>1118</v>
      </c>
      <c r="B816">
        <v>0.13020812100000001</v>
      </c>
      <c r="C816">
        <v>47493223.560000002</v>
      </c>
      <c r="D816">
        <v>284959.34139999998</v>
      </c>
      <c r="E816">
        <v>56991868.270000003</v>
      </c>
      <c r="F816" t="s">
        <v>33</v>
      </c>
      <c r="G816" t="s">
        <v>32</v>
      </c>
      <c r="H816" t="s">
        <v>16</v>
      </c>
      <c r="I816" t="s">
        <v>16</v>
      </c>
      <c r="J816" t="s">
        <v>16</v>
      </c>
      <c r="K816" t="s">
        <v>16</v>
      </c>
      <c r="L816" t="s">
        <v>695</v>
      </c>
      <c r="M816" t="str">
        <f t="shared" si="36"/>
        <v>abx_challengedresearch</v>
      </c>
      <c r="N816" t="s">
        <v>28</v>
      </c>
      <c r="O816" t="s">
        <v>696</v>
      </c>
      <c r="P816" t="s">
        <v>751</v>
      </c>
      <c r="Q816">
        <v>203509.1905</v>
      </c>
    </row>
    <row r="817" spans="1:17" x14ac:dyDescent="0.2">
      <c r="A817" t="s">
        <v>753</v>
      </c>
      <c r="B817">
        <v>0.21099863099999999</v>
      </c>
      <c r="C817">
        <v>13575025.15</v>
      </c>
      <c r="D817">
        <v>81450.150909999997</v>
      </c>
      <c r="E817">
        <v>16290030.18</v>
      </c>
      <c r="F817" t="s">
        <v>17</v>
      </c>
      <c r="G817" t="s">
        <v>32</v>
      </c>
      <c r="H817" t="s">
        <v>16</v>
      </c>
      <c r="I817" t="s">
        <v>16</v>
      </c>
      <c r="J817" t="s">
        <v>16</v>
      </c>
      <c r="K817" t="s">
        <v>16</v>
      </c>
      <c r="L817" t="s">
        <v>695</v>
      </c>
      <c r="M817" t="str">
        <f t="shared" si="36"/>
        <v>abx_challengedresearch</v>
      </c>
      <c r="N817" t="s">
        <v>28</v>
      </c>
      <c r="O817" t="s">
        <v>696</v>
      </c>
      <c r="P817" t="s">
        <v>751</v>
      </c>
      <c r="Q817">
        <v>81450.150909999997</v>
      </c>
    </row>
    <row r="818" spans="1:17" x14ac:dyDescent="0.2">
      <c r="A818" t="s">
        <v>754</v>
      </c>
      <c r="B818" s="1">
        <v>0</v>
      </c>
      <c r="C818">
        <v>26.13558111</v>
      </c>
      <c r="D818">
        <v>0</v>
      </c>
      <c r="E818">
        <v>0</v>
      </c>
      <c r="F818" t="s">
        <v>19</v>
      </c>
      <c r="G818" t="s">
        <v>36</v>
      </c>
      <c r="H818" t="s">
        <v>37</v>
      </c>
      <c r="I818">
        <v>0</v>
      </c>
      <c r="J818" t="s">
        <v>37</v>
      </c>
      <c r="K818">
        <v>0</v>
      </c>
      <c r="L818" t="s">
        <v>695</v>
      </c>
      <c r="M818" t="str">
        <f t="shared" si="36"/>
        <v>controlresearch</v>
      </c>
      <c r="N818" t="s">
        <v>28</v>
      </c>
      <c r="O818" t="s">
        <v>696</v>
      </c>
      <c r="P818" t="s">
        <v>751</v>
      </c>
      <c r="Q818" t="s">
        <v>16</v>
      </c>
    </row>
    <row r="819" spans="1:17" x14ac:dyDescent="0.2">
      <c r="A819" t="s">
        <v>1119</v>
      </c>
      <c r="B819" s="1">
        <v>0</v>
      </c>
      <c r="C819">
        <v>34937773.75</v>
      </c>
      <c r="D819">
        <v>2096266.425</v>
      </c>
      <c r="E819">
        <v>419253285</v>
      </c>
      <c r="F819" t="s">
        <v>33</v>
      </c>
      <c r="G819" t="s">
        <v>36</v>
      </c>
      <c r="H819" t="s">
        <v>38</v>
      </c>
      <c r="I819">
        <v>549169023.29999995</v>
      </c>
      <c r="J819" t="s">
        <v>38</v>
      </c>
      <c r="K819">
        <v>56991868.270000003</v>
      </c>
      <c r="L819" t="s">
        <v>695</v>
      </c>
      <c r="M819" t="str">
        <f t="shared" si="36"/>
        <v>controlresearch</v>
      </c>
      <c r="N819" t="s">
        <v>28</v>
      </c>
      <c r="O819" t="s">
        <v>696</v>
      </c>
      <c r="P819" t="s">
        <v>751</v>
      </c>
      <c r="Q819" t="s">
        <v>16</v>
      </c>
    </row>
    <row r="820" spans="1:17" x14ac:dyDescent="0.2">
      <c r="A820" t="s">
        <v>755</v>
      </c>
      <c r="B820" s="1">
        <v>0</v>
      </c>
      <c r="C820" t="s">
        <v>16</v>
      </c>
      <c r="D820">
        <v>0</v>
      </c>
      <c r="E820">
        <v>0</v>
      </c>
      <c r="F820" t="s">
        <v>17</v>
      </c>
      <c r="G820" t="s">
        <v>36</v>
      </c>
      <c r="H820" t="s">
        <v>38</v>
      </c>
      <c r="I820">
        <v>93416227.079999998</v>
      </c>
      <c r="J820" t="s">
        <v>38</v>
      </c>
      <c r="K820">
        <v>16290030.18</v>
      </c>
      <c r="L820" t="s">
        <v>695</v>
      </c>
      <c r="M820" t="str">
        <f t="shared" si="36"/>
        <v>controlresearch</v>
      </c>
      <c r="N820" t="s">
        <v>28</v>
      </c>
      <c r="O820" t="s">
        <v>696</v>
      </c>
      <c r="P820" t="s">
        <v>751</v>
      </c>
      <c r="Q820" t="s">
        <v>16</v>
      </c>
    </row>
    <row r="821" spans="1:17" x14ac:dyDescent="0.2">
      <c r="A821" t="s">
        <v>756</v>
      </c>
      <c r="B821">
        <v>0.15892749</v>
      </c>
      <c r="C821">
        <v>43.741891760000001</v>
      </c>
      <c r="D821">
        <v>0</v>
      </c>
      <c r="E821">
        <v>0</v>
      </c>
      <c r="F821" t="s">
        <v>19</v>
      </c>
      <c r="G821" t="s">
        <v>41</v>
      </c>
      <c r="H821" t="s">
        <v>16</v>
      </c>
      <c r="I821" t="s">
        <v>16</v>
      </c>
      <c r="J821" t="s">
        <v>16</v>
      </c>
      <c r="K821" t="s">
        <v>16</v>
      </c>
      <c r="L821" t="s">
        <v>695</v>
      </c>
      <c r="M821" t="str">
        <f t="shared" si="36"/>
        <v>challengedresearch</v>
      </c>
      <c r="N821" t="s">
        <v>28</v>
      </c>
      <c r="O821" t="s">
        <v>696</v>
      </c>
      <c r="P821" t="s">
        <v>751</v>
      </c>
      <c r="Q821">
        <v>0</v>
      </c>
    </row>
    <row r="822" spans="1:17" x14ac:dyDescent="0.2">
      <c r="A822" t="s">
        <v>757</v>
      </c>
      <c r="B822">
        <v>0.21569323500000001</v>
      </c>
      <c r="C822">
        <v>7784685.5899999999</v>
      </c>
      <c r="D822">
        <v>467081.13540000003</v>
      </c>
      <c r="E822">
        <v>93416227.079999998</v>
      </c>
      <c r="F822" t="s">
        <v>17</v>
      </c>
      <c r="G822" t="s">
        <v>41</v>
      </c>
      <c r="H822" t="s">
        <v>16</v>
      </c>
      <c r="I822" t="s">
        <v>16</v>
      </c>
      <c r="J822" t="s">
        <v>16</v>
      </c>
      <c r="K822" t="s">
        <v>16</v>
      </c>
      <c r="L822" t="s">
        <v>695</v>
      </c>
      <c r="M822" t="str">
        <f t="shared" si="36"/>
        <v>challengedresearch</v>
      </c>
      <c r="N822" t="s">
        <v>28</v>
      </c>
      <c r="O822" t="s">
        <v>696</v>
      </c>
      <c r="P822" t="s">
        <v>751</v>
      </c>
      <c r="Q822">
        <v>467081.13540000003</v>
      </c>
    </row>
    <row r="823" spans="1:17" x14ac:dyDescent="0.2">
      <c r="A823" t="s">
        <v>1168</v>
      </c>
      <c r="B823" s="1">
        <v>0.19439213299999999</v>
      </c>
      <c r="C823">
        <v>32950141.399999999</v>
      </c>
      <c r="D823">
        <f>(C823*50)/(3*200)</f>
        <v>2745845.1166666667</v>
      </c>
      <c r="E823">
        <f>D823*200</f>
        <v>549169023.33333337</v>
      </c>
      <c r="F823" t="s">
        <v>33</v>
      </c>
      <c r="G823" t="s">
        <v>41</v>
      </c>
      <c r="H823" t="s">
        <v>16</v>
      </c>
      <c r="I823" t="s">
        <v>16</v>
      </c>
      <c r="J823" t="s">
        <v>16</v>
      </c>
      <c r="K823" t="s">
        <v>16</v>
      </c>
      <c r="L823" t="s">
        <v>695</v>
      </c>
      <c r="M823" t="str">
        <f t="shared" ref="M823" si="41">CONCATENATE(G823, L823)</f>
        <v>challengedresearch</v>
      </c>
      <c r="N823" t="s">
        <v>28</v>
      </c>
      <c r="O823" t="s">
        <v>696</v>
      </c>
      <c r="P823" t="s">
        <v>751</v>
      </c>
    </row>
    <row r="824" spans="1:17" x14ac:dyDescent="0.2">
      <c r="A824" t="s">
        <v>758</v>
      </c>
      <c r="B824" t="s">
        <v>16</v>
      </c>
      <c r="C824" t="s">
        <v>16</v>
      </c>
      <c r="D824" t="s">
        <v>16</v>
      </c>
      <c r="E824" t="s">
        <v>16</v>
      </c>
      <c r="F824" t="s">
        <v>26</v>
      </c>
      <c r="G824" t="s">
        <v>26</v>
      </c>
      <c r="H824" t="s">
        <v>16</v>
      </c>
      <c r="I824" t="s">
        <v>16</v>
      </c>
      <c r="J824" t="s">
        <v>16</v>
      </c>
      <c r="K824" t="s">
        <v>16</v>
      </c>
      <c r="L824" t="s">
        <v>695</v>
      </c>
      <c r="M824" t="str">
        <f t="shared" si="36"/>
        <v>fecalresearch</v>
      </c>
      <c r="N824" t="s">
        <v>28</v>
      </c>
      <c r="O824" t="s">
        <v>696</v>
      </c>
      <c r="P824" t="s">
        <v>759</v>
      </c>
      <c r="Q824" t="s">
        <v>16</v>
      </c>
    </row>
    <row r="825" spans="1:17" x14ac:dyDescent="0.2">
      <c r="A825" t="s">
        <v>760</v>
      </c>
      <c r="B825">
        <v>0.14044120299999999</v>
      </c>
      <c r="C825">
        <v>300.635558</v>
      </c>
      <c r="D825">
        <v>27.836625739999999</v>
      </c>
      <c r="E825">
        <v>5567.3251490000002</v>
      </c>
      <c r="F825" t="s">
        <v>19</v>
      </c>
      <c r="G825" t="s">
        <v>32</v>
      </c>
      <c r="H825" t="s">
        <v>16</v>
      </c>
      <c r="I825" t="s">
        <v>16</v>
      </c>
      <c r="J825" t="s">
        <v>16</v>
      </c>
      <c r="K825" t="s">
        <v>16</v>
      </c>
      <c r="L825" t="s">
        <v>695</v>
      </c>
      <c r="M825" t="str">
        <f t="shared" si="36"/>
        <v>abx_challengedresearch</v>
      </c>
      <c r="N825" t="s">
        <v>28</v>
      </c>
      <c r="O825" t="s">
        <v>696</v>
      </c>
      <c r="P825" t="s">
        <v>759</v>
      </c>
      <c r="Q825">
        <v>27.836625739999999</v>
      </c>
    </row>
    <row r="826" spans="1:17" x14ac:dyDescent="0.2">
      <c r="A826" t="s">
        <v>1120</v>
      </c>
      <c r="B826">
        <v>0.11147066899999999</v>
      </c>
      <c r="C826">
        <v>798831083.10000002</v>
      </c>
      <c r="D826">
        <v>4792986.4989999998</v>
      </c>
      <c r="E826">
        <v>958597299.79999995</v>
      </c>
      <c r="F826" t="s">
        <v>33</v>
      </c>
      <c r="G826" t="s">
        <v>32</v>
      </c>
      <c r="H826" t="s">
        <v>16</v>
      </c>
      <c r="I826" t="s">
        <v>16</v>
      </c>
      <c r="J826" t="s">
        <v>16</v>
      </c>
      <c r="K826" t="s">
        <v>16</v>
      </c>
      <c r="L826" t="s">
        <v>695</v>
      </c>
      <c r="M826" t="str">
        <f t="shared" si="36"/>
        <v>abx_challengedresearch</v>
      </c>
      <c r="N826" t="s">
        <v>28</v>
      </c>
      <c r="O826" t="s">
        <v>696</v>
      </c>
      <c r="P826" t="s">
        <v>759</v>
      </c>
      <c r="Q826">
        <v>4709342.057</v>
      </c>
    </row>
    <row r="827" spans="1:17" x14ac:dyDescent="0.2">
      <c r="A827" t="s">
        <v>761</v>
      </c>
      <c r="B827">
        <v>0.22626775099999999</v>
      </c>
      <c r="C827">
        <v>13940740.33</v>
      </c>
      <c r="D827">
        <v>83644.441959999996</v>
      </c>
      <c r="E827">
        <v>16728888.390000001</v>
      </c>
      <c r="F827" t="s">
        <v>17</v>
      </c>
      <c r="G827" t="s">
        <v>32</v>
      </c>
      <c r="H827" t="s">
        <v>16</v>
      </c>
      <c r="I827" t="s">
        <v>16</v>
      </c>
      <c r="J827" t="s">
        <v>16</v>
      </c>
      <c r="K827" t="s">
        <v>16</v>
      </c>
      <c r="L827" t="s">
        <v>695</v>
      </c>
      <c r="M827" t="str">
        <f t="shared" si="36"/>
        <v>abx_challengedresearch</v>
      </c>
      <c r="N827" t="s">
        <v>28</v>
      </c>
      <c r="O827" t="s">
        <v>696</v>
      </c>
      <c r="P827" t="s">
        <v>759</v>
      </c>
      <c r="Q827">
        <v>83644.441959999996</v>
      </c>
    </row>
    <row r="828" spans="1:17" x14ac:dyDescent="0.2">
      <c r="A828" t="s">
        <v>762</v>
      </c>
      <c r="B828" s="1">
        <v>0</v>
      </c>
      <c r="C828" t="s">
        <v>16</v>
      </c>
      <c r="D828">
        <v>0</v>
      </c>
      <c r="E828">
        <v>0</v>
      </c>
      <c r="F828" t="s">
        <v>19</v>
      </c>
      <c r="G828" t="s">
        <v>36</v>
      </c>
      <c r="H828" t="s">
        <v>37</v>
      </c>
      <c r="I828">
        <v>0</v>
      </c>
      <c r="J828" t="s">
        <v>37</v>
      </c>
      <c r="K828">
        <v>5567.3251490000002</v>
      </c>
      <c r="L828" t="s">
        <v>695</v>
      </c>
      <c r="M828" t="str">
        <f t="shared" si="36"/>
        <v>controlresearch</v>
      </c>
      <c r="N828" t="s">
        <v>28</v>
      </c>
      <c r="O828" t="s">
        <v>696</v>
      </c>
      <c r="P828" t="s">
        <v>759</v>
      </c>
      <c r="Q828" t="s">
        <v>16</v>
      </c>
    </row>
    <row r="829" spans="1:17" x14ac:dyDescent="0.2">
      <c r="A829" t="s">
        <v>1121</v>
      </c>
      <c r="B829" s="1">
        <v>0</v>
      </c>
      <c r="C829">
        <v>648184210</v>
      </c>
      <c r="D829">
        <v>38891052.600000001</v>
      </c>
      <c r="E829">
        <v>7778210520</v>
      </c>
      <c r="F829" t="s">
        <v>33</v>
      </c>
      <c r="G829" t="s">
        <v>36</v>
      </c>
      <c r="H829" t="s">
        <v>38</v>
      </c>
      <c r="I829">
        <v>106598366.7</v>
      </c>
      <c r="J829" t="s">
        <v>38</v>
      </c>
      <c r="K829">
        <v>958597299.79999995</v>
      </c>
      <c r="L829" t="s">
        <v>695</v>
      </c>
      <c r="M829" t="str">
        <f t="shared" si="36"/>
        <v>controlresearch</v>
      </c>
      <c r="N829" t="s">
        <v>28</v>
      </c>
      <c r="O829" t="s">
        <v>696</v>
      </c>
      <c r="P829" t="s">
        <v>759</v>
      </c>
      <c r="Q829" t="s">
        <v>16</v>
      </c>
    </row>
    <row r="830" spans="1:17" x14ac:dyDescent="0.2">
      <c r="A830" t="s">
        <v>763</v>
      </c>
      <c r="B830" s="1">
        <v>0</v>
      </c>
      <c r="C830" t="s">
        <v>16</v>
      </c>
      <c r="D830">
        <v>0</v>
      </c>
      <c r="E830">
        <v>0</v>
      </c>
      <c r="F830" t="s">
        <v>17</v>
      </c>
      <c r="G830" t="s">
        <v>36</v>
      </c>
      <c r="H830" t="s">
        <v>38</v>
      </c>
      <c r="I830">
        <v>578576627.5</v>
      </c>
      <c r="J830" t="s">
        <v>38</v>
      </c>
      <c r="K830">
        <v>16728888.390000001</v>
      </c>
      <c r="L830" t="s">
        <v>695</v>
      </c>
      <c r="M830" t="str">
        <f t="shared" si="36"/>
        <v>controlresearch</v>
      </c>
      <c r="N830" t="s">
        <v>28</v>
      </c>
      <c r="O830" t="s">
        <v>696</v>
      </c>
      <c r="P830" t="s">
        <v>759</v>
      </c>
      <c r="Q830" t="s">
        <v>16</v>
      </c>
    </row>
    <row r="831" spans="1:17" x14ac:dyDescent="0.2">
      <c r="A831" t="s">
        <v>764</v>
      </c>
      <c r="B831">
        <v>9.0398646999999999E-2</v>
      </c>
      <c r="C831">
        <v>10.86935358</v>
      </c>
      <c r="D831">
        <v>0</v>
      </c>
      <c r="E831">
        <v>0</v>
      </c>
      <c r="F831" t="s">
        <v>19</v>
      </c>
      <c r="G831" t="s">
        <v>41</v>
      </c>
      <c r="H831" t="s">
        <v>16</v>
      </c>
      <c r="I831" t="s">
        <v>16</v>
      </c>
      <c r="J831" t="s">
        <v>16</v>
      </c>
      <c r="K831" t="s">
        <v>16</v>
      </c>
      <c r="L831" t="s">
        <v>695</v>
      </c>
      <c r="M831" t="str">
        <f t="shared" si="36"/>
        <v>challengedresearch</v>
      </c>
      <c r="N831" t="s">
        <v>28</v>
      </c>
      <c r="O831" t="s">
        <v>696</v>
      </c>
      <c r="P831" t="s">
        <v>759</v>
      </c>
      <c r="Q831">
        <v>0</v>
      </c>
    </row>
    <row r="832" spans="1:17" x14ac:dyDescent="0.2">
      <c r="A832" t="s">
        <v>765</v>
      </c>
      <c r="B832">
        <v>0.28632202200000001</v>
      </c>
      <c r="C832">
        <v>48214718.960000001</v>
      </c>
      <c r="D832">
        <v>2892883.1379999998</v>
      </c>
      <c r="E832">
        <v>578576627.5</v>
      </c>
      <c r="F832" t="s">
        <v>17</v>
      </c>
      <c r="G832" t="s">
        <v>41</v>
      </c>
      <c r="H832" t="s">
        <v>16</v>
      </c>
      <c r="I832" t="s">
        <v>16</v>
      </c>
      <c r="J832" t="s">
        <v>16</v>
      </c>
      <c r="K832" t="s">
        <v>16</v>
      </c>
      <c r="L832" t="s">
        <v>695</v>
      </c>
      <c r="M832" t="str">
        <f t="shared" si="36"/>
        <v>challengedresearch</v>
      </c>
      <c r="N832" t="s">
        <v>28</v>
      </c>
      <c r="O832" t="s">
        <v>696</v>
      </c>
      <c r="P832" t="s">
        <v>759</v>
      </c>
      <c r="Q832">
        <v>2892883.1379999998</v>
      </c>
    </row>
    <row r="833" spans="1:17" x14ac:dyDescent="0.2">
      <c r="A833" t="s">
        <v>1167</v>
      </c>
      <c r="B833" s="1">
        <v>0.18320481399999999</v>
      </c>
      <c r="C833">
        <v>6395902</v>
      </c>
      <c r="D833">
        <f>(C833*50)/(3*200)</f>
        <v>532991.83333333337</v>
      </c>
      <c r="E833">
        <f>D833*200</f>
        <v>106598366.66666667</v>
      </c>
      <c r="F833" t="s">
        <v>33</v>
      </c>
      <c r="G833" t="s">
        <v>41</v>
      </c>
      <c r="H833" t="s">
        <v>16</v>
      </c>
      <c r="I833" t="s">
        <v>16</v>
      </c>
      <c r="J833" t="s">
        <v>16</v>
      </c>
      <c r="K833" t="s">
        <v>16</v>
      </c>
      <c r="L833" t="s">
        <v>695</v>
      </c>
      <c r="M833" t="str">
        <f t="shared" ref="M833" si="42">CONCATENATE(G833, L833)</f>
        <v>challengedresearch</v>
      </c>
      <c r="N833" t="s">
        <v>28</v>
      </c>
      <c r="O833" t="s">
        <v>696</v>
      </c>
      <c r="P833" t="s">
        <v>759</v>
      </c>
    </row>
    <row r="834" spans="1:17" x14ac:dyDescent="0.2">
      <c r="A834" t="s">
        <v>766</v>
      </c>
      <c r="B834">
        <v>7.7795151000000007E-2</v>
      </c>
      <c r="C834">
        <v>27.901098739999998</v>
      </c>
      <c r="D834">
        <v>0</v>
      </c>
      <c r="E834">
        <v>0</v>
      </c>
      <c r="F834" t="s">
        <v>19</v>
      </c>
      <c r="G834" t="s">
        <v>32</v>
      </c>
      <c r="H834" t="s">
        <v>16</v>
      </c>
      <c r="I834" t="s">
        <v>16</v>
      </c>
      <c r="J834" t="s">
        <v>16</v>
      </c>
      <c r="K834" t="s">
        <v>16</v>
      </c>
      <c r="L834" t="s">
        <v>695</v>
      </c>
      <c r="M834" t="str">
        <f t="shared" si="36"/>
        <v>abx_challengedresearch</v>
      </c>
      <c r="N834" t="s">
        <v>28</v>
      </c>
      <c r="O834" t="s">
        <v>696</v>
      </c>
      <c r="P834" t="s">
        <v>767</v>
      </c>
      <c r="Q834">
        <v>0</v>
      </c>
    </row>
    <row r="835" spans="1:17" x14ac:dyDescent="0.2">
      <c r="A835" t="s">
        <v>1122</v>
      </c>
      <c r="B835">
        <v>0.14738880200000001</v>
      </c>
      <c r="C835">
        <v>126162619.3</v>
      </c>
      <c r="D835">
        <v>756975.71589999995</v>
      </c>
      <c r="E835">
        <v>151395143.19999999</v>
      </c>
      <c r="F835" t="s">
        <v>33</v>
      </c>
      <c r="G835" t="s">
        <v>32</v>
      </c>
      <c r="H835" t="s">
        <v>16</v>
      </c>
      <c r="I835" t="s">
        <v>16</v>
      </c>
      <c r="J835" t="s">
        <v>16</v>
      </c>
      <c r="K835" t="s">
        <v>16</v>
      </c>
      <c r="L835" t="s">
        <v>695</v>
      </c>
      <c r="M835" t="str">
        <f t="shared" si="36"/>
        <v>abx_challengedresearch</v>
      </c>
      <c r="N835" t="s">
        <v>28</v>
      </c>
      <c r="O835" t="s">
        <v>696</v>
      </c>
      <c r="P835" t="s">
        <v>767</v>
      </c>
      <c r="Q835">
        <v>703603.33129999996</v>
      </c>
    </row>
    <row r="836" spans="1:17" x14ac:dyDescent="0.2">
      <c r="A836" t="s">
        <v>768</v>
      </c>
      <c r="B836">
        <v>0.21717531400000001</v>
      </c>
      <c r="C836">
        <v>8895397.4360000007</v>
      </c>
      <c r="D836">
        <v>53372.384610000001</v>
      </c>
      <c r="E836">
        <v>10674476.92</v>
      </c>
      <c r="F836" t="s">
        <v>17</v>
      </c>
      <c r="G836" t="s">
        <v>32</v>
      </c>
      <c r="H836" t="s">
        <v>16</v>
      </c>
      <c r="I836" t="s">
        <v>16</v>
      </c>
      <c r="J836" t="s">
        <v>16</v>
      </c>
      <c r="K836" t="s">
        <v>16</v>
      </c>
      <c r="L836" t="s">
        <v>695</v>
      </c>
      <c r="M836" t="str">
        <f t="shared" si="36"/>
        <v>abx_challengedresearch</v>
      </c>
      <c r="N836" t="s">
        <v>28</v>
      </c>
      <c r="O836" t="s">
        <v>696</v>
      </c>
      <c r="P836" t="s">
        <v>767</v>
      </c>
      <c r="Q836">
        <v>53372.384610000001</v>
      </c>
    </row>
    <row r="837" spans="1:17" x14ac:dyDescent="0.2">
      <c r="A837" t="s">
        <v>769</v>
      </c>
      <c r="B837" s="1">
        <v>0</v>
      </c>
      <c r="C837">
        <v>1.000463071</v>
      </c>
      <c r="D837">
        <v>0</v>
      </c>
      <c r="E837">
        <v>0</v>
      </c>
      <c r="F837" t="s">
        <v>19</v>
      </c>
      <c r="G837" t="s">
        <v>36</v>
      </c>
      <c r="H837" t="s">
        <v>37</v>
      </c>
      <c r="I837">
        <v>0</v>
      </c>
      <c r="J837" t="s">
        <v>37</v>
      </c>
      <c r="K837">
        <v>0</v>
      </c>
      <c r="L837" t="s">
        <v>695</v>
      </c>
      <c r="M837" t="str">
        <f t="shared" si="36"/>
        <v>controlresearch</v>
      </c>
      <c r="N837" t="s">
        <v>28</v>
      </c>
      <c r="O837" t="s">
        <v>696</v>
      </c>
      <c r="P837" t="s">
        <v>767</v>
      </c>
      <c r="Q837" t="s">
        <v>16</v>
      </c>
    </row>
    <row r="838" spans="1:17" x14ac:dyDescent="0.2">
      <c r="A838" t="s">
        <v>1123</v>
      </c>
      <c r="B838" s="1">
        <v>0</v>
      </c>
      <c r="C838">
        <v>928822443.39999998</v>
      </c>
      <c r="D838">
        <v>55729346.600000001</v>
      </c>
      <c r="E838">
        <v>11145869321</v>
      </c>
      <c r="F838" t="s">
        <v>33</v>
      </c>
      <c r="G838" t="s">
        <v>36</v>
      </c>
      <c r="H838" t="s">
        <v>38</v>
      </c>
      <c r="I838">
        <v>159003886.69999999</v>
      </c>
      <c r="J838" t="s">
        <v>38</v>
      </c>
      <c r="K838">
        <v>151395143.19999999</v>
      </c>
      <c r="L838" t="s">
        <v>695</v>
      </c>
      <c r="M838" t="str">
        <f t="shared" si="36"/>
        <v>controlresearch</v>
      </c>
      <c r="N838" t="s">
        <v>28</v>
      </c>
      <c r="O838" t="s">
        <v>696</v>
      </c>
      <c r="P838" t="s">
        <v>767</v>
      </c>
      <c r="Q838" t="s">
        <v>16</v>
      </c>
    </row>
    <row r="839" spans="1:17" x14ac:dyDescent="0.2">
      <c r="A839" t="s">
        <v>770</v>
      </c>
      <c r="B839" s="1">
        <v>0</v>
      </c>
      <c r="C839" t="s">
        <v>16</v>
      </c>
      <c r="D839">
        <v>0</v>
      </c>
      <c r="E839">
        <v>0</v>
      </c>
      <c r="F839" t="s">
        <v>17</v>
      </c>
      <c r="G839" t="s">
        <v>36</v>
      </c>
      <c r="H839" t="s">
        <v>38</v>
      </c>
      <c r="I839">
        <v>160031536.69999999</v>
      </c>
      <c r="J839" t="s">
        <v>38</v>
      </c>
      <c r="K839">
        <v>10674476.92</v>
      </c>
      <c r="L839" t="s">
        <v>695</v>
      </c>
      <c r="M839" t="str">
        <f t="shared" si="36"/>
        <v>controlresearch</v>
      </c>
      <c r="N839" t="s">
        <v>28</v>
      </c>
      <c r="O839" t="s">
        <v>696</v>
      </c>
      <c r="P839" t="s">
        <v>767</v>
      </c>
      <c r="Q839" t="s">
        <v>16</v>
      </c>
    </row>
    <row r="840" spans="1:17" x14ac:dyDescent="0.2">
      <c r="A840" t="s">
        <v>771</v>
      </c>
      <c r="B840">
        <v>2.8473729999999999E-2</v>
      </c>
      <c r="C840">
        <v>4.2226565660000004</v>
      </c>
      <c r="D840">
        <v>0</v>
      </c>
      <c r="E840">
        <v>0</v>
      </c>
      <c r="F840" t="s">
        <v>19</v>
      </c>
      <c r="G840" t="s">
        <v>41</v>
      </c>
      <c r="H840" t="s">
        <v>16</v>
      </c>
      <c r="I840" t="s">
        <v>16</v>
      </c>
      <c r="J840" t="s">
        <v>16</v>
      </c>
      <c r="K840" t="s">
        <v>16</v>
      </c>
      <c r="L840" t="s">
        <v>695</v>
      </c>
      <c r="M840" t="str">
        <f t="shared" si="36"/>
        <v>challengedresearch</v>
      </c>
      <c r="N840" t="s">
        <v>28</v>
      </c>
      <c r="O840" t="s">
        <v>696</v>
      </c>
      <c r="P840" t="s">
        <v>767</v>
      </c>
      <c r="Q840">
        <v>0</v>
      </c>
    </row>
    <row r="841" spans="1:17" x14ac:dyDescent="0.2">
      <c r="A841" t="s">
        <v>772</v>
      </c>
      <c r="B841">
        <v>8.5540408999999998E-2</v>
      </c>
      <c r="C841">
        <v>13335961.390000001</v>
      </c>
      <c r="D841">
        <v>800157.68330000003</v>
      </c>
      <c r="E841">
        <v>160031536.69999999</v>
      </c>
      <c r="F841" t="s">
        <v>17</v>
      </c>
      <c r="G841" t="s">
        <v>41</v>
      </c>
      <c r="H841" t="s">
        <v>16</v>
      </c>
      <c r="I841" t="s">
        <v>16</v>
      </c>
      <c r="J841" t="s">
        <v>16</v>
      </c>
      <c r="K841" t="s">
        <v>16</v>
      </c>
      <c r="L841" t="s">
        <v>695</v>
      </c>
      <c r="M841" t="str">
        <f t="shared" si="36"/>
        <v>challengedresearch</v>
      </c>
      <c r="N841" t="s">
        <v>28</v>
      </c>
      <c r="O841" t="s">
        <v>696</v>
      </c>
      <c r="P841" t="s">
        <v>767</v>
      </c>
      <c r="Q841">
        <v>800157.68330000003</v>
      </c>
    </row>
    <row r="842" spans="1:17" x14ac:dyDescent="0.2">
      <c r="A842" t="s">
        <v>1174</v>
      </c>
      <c r="B842" s="1">
        <v>4.3920494999999997E-2</v>
      </c>
      <c r="C842">
        <v>9540233.1999999993</v>
      </c>
      <c r="D842">
        <f>(C842*50)/(3*200)</f>
        <v>795019.43333333323</v>
      </c>
      <c r="E842">
        <f>D842*200</f>
        <v>159003886.66666666</v>
      </c>
      <c r="F842" t="s">
        <v>33</v>
      </c>
      <c r="G842" t="s">
        <v>41</v>
      </c>
      <c r="H842" t="s">
        <v>16</v>
      </c>
      <c r="I842" t="s">
        <v>16</v>
      </c>
      <c r="J842" t="s">
        <v>16</v>
      </c>
      <c r="K842" t="s">
        <v>16</v>
      </c>
      <c r="L842" t="s">
        <v>695</v>
      </c>
      <c r="M842" t="str">
        <f t="shared" ref="M842" si="43">CONCATENATE(G842, L842)</f>
        <v>challengedresearch</v>
      </c>
      <c r="N842" t="s">
        <v>28</v>
      </c>
      <c r="O842" t="s">
        <v>696</v>
      </c>
      <c r="P842" t="s">
        <v>767</v>
      </c>
    </row>
    <row r="843" spans="1:17" x14ac:dyDescent="0.2">
      <c r="A843" t="s">
        <v>773</v>
      </c>
      <c r="B843" t="s">
        <v>16</v>
      </c>
      <c r="C843" t="s">
        <v>16</v>
      </c>
      <c r="D843" t="s">
        <v>16</v>
      </c>
      <c r="E843" t="s">
        <v>16</v>
      </c>
      <c r="F843" t="s">
        <v>26</v>
      </c>
      <c r="G843" t="s">
        <v>26</v>
      </c>
      <c r="H843" t="s">
        <v>16</v>
      </c>
      <c r="I843" t="s">
        <v>16</v>
      </c>
      <c r="J843" t="s">
        <v>16</v>
      </c>
      <c r="K843" t="s">
        <v>16</v>
      </c>
      <c r="L843" t="s">
        <v>695</v>
      </c>
      <c r="M843" t="str">
        <f t="shared" si="36"/>
        <v>fecalresearch</v>
      </c>
      <c r="N843" t="s">
        <v>28</v>
      </c>
      <c r="O843" t="s">
        <v>696</v>
      </c>
      <c r="P843" t="s">
        <v>774</v>
      </c>
      <c r="Q843" t="s">
        <v>16</v>
      </c>
    </row>
    <row r="844" spans="1:17" x14ac:dyDescent="0.2">
      <c r="A844" t="s">
        <v>775</v>
      </c>
      <c r="B844">
        <v>0.119661198</v>
      </c>
      <c r="C844">
        <v>2696.33898</v>
      </c>
      <c r="D844">
        <v>249.66101660000001</v>
      </c>
      <c r="E844">
        <v>49932.203329999997</v>
      </c>
      <c r="F844" t="s">
        <v>19</v>
      </c>
      <c r="G844" t="s">
        <v>32</v>
      </c>
      <c r="H844" t="s">
        <v>16</v>
      </c>
      <c r="I844" t="s">
        <v>16</v>
      </c>
      <c r="J844" t="s">
        <v>16</v>
      </c>
      <c r="K844" t="s">
        <v>16</v>
      </c>
      <c r="L844" t="s">
        <v>695</v>
      </c>
      <c r="M844" t="str">
        <f t="shared" si="36"/>
        <v>abx_challengedresearch</v>
      </c>
      <c r="N844" t="s">
        <v>28</v>
      </c>
      <c r="O844" t="s">
        <v>696</v>
      </c>
      <c r="P844" t="s">
        <v>774</v>
      </c>
      <c r="Q844">
        <v>249.66101660000001</v>
      </c>
    </row>
    <row r="845" spans="1:17" x14ac:dyDescent="0.2">
      <c r="A845" t="s">
        <v>1124</v>
      </c>
      <c r="B845">
        <v>0.133713317</v>
      </c>
      <c r="C845">
        <v>118041729.90000001</v>
      </c>
      <c r="D845">
        <v>708250.37939999998</v>
      </c>
      <c r="E845">
        <v>141650075.90000001</v>
      </c>
      <c r="F845" t="s">
        <v>33</v>
      </c>
      <c r="G845" t="s">
        <v>32</v>
      </c>
      <c r="H845" t="s">
        <v>16</v>
      </c>
      <c r="I845" t="s">
        <v>16</v>
      </c>
      <c r="J845" t="s">
        <v>16</v>
      </c>
      <c r="K845" t="s">
        <v>16</v>
      </c>
      <c r="L845" t="s">
        <v>695</v>
      </c>
      <c r="M845" t="str">
        <f t="shared" si="36"/>
        <v>abx_challengedresearch</v>
      </c>
      <c r="N845" t="s">
        <v>28</v>
      </c>
      <c r="O845" t="s">
        <v>696</v>
      </c>
      <c r="P845" t="s">
        <v>774</v>
      </c>
      <c r="Q845">
        <v>667119.96429999999</v>
      </c>
    </row>
    <row r="846" spans="1:17" x14ac:dyDescent="0.2">
      <c r="A846" t="s">
        <v>776</v>
      </c>
      <c r="B846">
        <v>0.22479834600000001</v>
      </c>
      <c r="C846">
        <v>6855069.1969999997</v>
      </c>
      <c r="D846">
        <v>41130.415180000004</v>
      </c>
      <c r="E846">
        <v>8226083.0369999995</v>
      </c>
      <c r="F846" t="s">
        <v>17</v>
      </c>
      <c r="G846" t="s">
        <v>32</v>
      </c>
      <c r="H846" t="s">
        <v>16</v>
      </c>
      <c r="I846" t="s">
        <v>16</v>
      </c>
      <c r="J846" t="s">
        <v>16</v>
      </c>
      <c r="K846" t="s">
        <v>16</v>
      </c>
      <c r="L846" t="s">
        <v>695</v>
      </c>
      <c r="M846" t="str">
        <f t="shared" si="36"/>
        <v>abx_challengedresearch</v>
      </c>
      <c r="N846" t="s">
        <v>28</v>
      </c>
      <c r="O846" t="s">
        <v>696</v>
      </c>
      <c r="P846" t="s">
        <v>774</v>
      </c>
      <c r="Q846">
        <v>41130.415180000004</v>
      </c>
    </row>
    <row r="847" spans="1:17" x14ac:dyDescent="0.2">
      <c r="A847" t="s">
        <v>777</v>
      </c>
      <c r="B847" s="1">
        <v>0</v>
      </c>
      <c r="C847">
        <v>74.839867429999998</v>
      </c>
      <c r="D847">
        <v>0</v>
      </c>
      <c r="E847">
        <v>0</v>
      </c>
      <c r="F847" t="s">
        <v>19</v>
      </c>
      <c r="G847" t="s">
        <v>36</v>
      </c>
      <c r="H847" t="s">
        <v>37</v>
      </c>
      <c r="I847">
        <v>0</v>
      </c>
      <c r="J847" t="s">
        <v>37</v>
      </c>
      <c r="K847">
        <v>49932.203329999997</v>
      </c>
      <c r="L847" t="s">
        <v>695</v>
      </c>
      <c r="M847" t="str">
        <f t="shared" si="36"/>
        <v>controlresearch</v>
      </c>
      <c r="N847" t="s">
        <v>28</v>
      </c>
      <c r="O847" t="s">
        <v>696</v>
      </c>
      <c r="P847" t="s">
        <v>774</v>
      </c>
      <c r="Q847" t="s">
        <v>16</v>
      </c>
    </row>
    <row r="848" spans="1:17" x14ac:dyDescent="0.2">
      <c r="A848" t="s">
        <v>1125</v>
      </c>
      <c r="B848" s="1">
        <v>0</v>
      </c>
      <c r="C848">
        <v>1122994523</v>
      </c>
      <c r="D848">
        <v>67379671.359999999</v>
      </c>
      <c r="E848">
        <v>13475934272</v>
      </c>
      <c r="F848" t="s">
        <v>33</v>
      </c>
      <c r="G848" t="s">
        <v>36</v>
      </c>
      <c r="H848" t="s">
        <v>38</v>
      </c>
      <c r="I848">
        <v>567142215</v>
      </c>
      <c r="J848" t="s">
        <v>38</v>
      </c>
      <c r="K848">
        <v>141650075.90000001</v>
      </c>
      <c r="L848" t="s">
        <v>695</v>
      </c>
      <c r="M848" t="str">
        <f t="shared" si="36"/>
        <v>controlresearch</v>
      </c>
      <c r="N848" t="s">
        <v>28</v>
      </c>
      <c r="O848" t="s">
        <v>696</v>
      </c>
      <c r="P848" t="s">
        <v>774</v>
      </c>
      <c r="Q848" t="s">
        <v>16</v>
      </c>
    </row>
    <row r="849" spans="1:17" x14ac:dyDescent="0.2">
      <c r="A849" t="s">
        <v>778</v>
      </c>
      <c r="B849" s="1">
        <v>0</v>
      </c>
      <c r="C849" t="s">
        <v>16</v>
      </c>
      <c r="D849">
        <v>0</v>
      </c>
      <c r="E849">
        <v>0</v>
      </c>
      <c r="F849" t="s">
        <v>17</v>
      </c>
      <c r="G849" t="s">
        <v>36</v>
      </c>
      <c r="H849" t="s">
        <v>38</v>
      </c>
      <c r="I849">
        <v>105880145.8</v>
      </c>
      <c r="J849" t="s">
        <v>38</v>
      </c>
      <c r="K849">
        <v>8226083.0369999995</v>
      </c>
      <c r="L849" t="s">
        <v>695</v>
      </c>
      <c r="M849" t="str">
        <f t="shared" si="36"/>
        <v>controlresearch</v>
      </c>
      <c r="N849" t="s">
        <v>28</v>
      </c>
      <c r="O849" t="s">
        <v>696</v>
      </c>
      <c r="P849" t="s">
        <v>774</v>
      </c>
      <c r="Q849" t="s">
        <v>16</v>
      </c>
    </row>
    <row r="850" spans="1:17" x14ac:dyDescent="0.2">
      <c r="A850" t="s">
        <v>779</v>
      </c>
      <c r="B850">
        <v>0.105769058</v>
      </c>
      <c r="C850">
        <v>42.368531439999998</v>
      </c>
      <c r="D850">
        <v>0</v>
      </c>
      <c r="E850">
        <v>0</v>
      </c>
      <c r="F850" t="s">
        <v>19</v>
      </c>
      <c r="G850" t="s">
        <v>41</v>
      </c>
      <c r="H850" t="s">
        <v>16</v>
      </c>
      <c r="I850" t="s">
        <v>16</v>
      </c>
      <c r="J850" t="s">
        <v>16</v>
      </c>
      <c r="K850" t="s">
        <v>16</v>
      </c>
      <c r="L850" t="s">
        <v>695</v>
      </c>
      <c r="M850" t="str">
        <f t="shared" ref="M850:M917" si="44">CONCATENATE(G850, L850)</f>
        <v>challengedresearch</v>
      </c>
      <c r="N850" t="s">
        <v>28</v>
      </c>
      <c r="O850" t="s">
        <v>696</v>
      </c>
      <c r="P850" t="s">
        <v>774</v>
      </c>
      <c r="Q850">
        <v>0</v>
      </c>
    </row>
    <row r="851" spans="1:17" x14ac:dyDescent="0.2">
      <c r="A851" t="s">
        <v>780</v>
      </c>
      <c r="B851">
        <v>9.8788771999999997E-2</v>
      </c>
      <c r="C851">
        <v>8823345.4839999992</v>
      </c>
      <c r="D851">
        <v>529400.72900000005</v>
      </c>
      <c r="E851">
        <v>105880145.8</v>
      </c>
      <c r="F851" t="s">
        <v>17</v>
      </c>
      <c r="G851" t="s">
        <v>41</v>
      </c>
      <c r="H851" t="s">
        <v>16</v>
      </c>
      <c r="I851" t="s">
        <v>16</v>
      </c>
      <c r="J851" t="s">
        <v>16</v>
      </c>
      <c r="K851" t="s">
        <v>16</v>
      </c>
      <c r="L851" t="s">
        <v>695</v>
      </c>
      <c r="M851" t="str">
        <f t="shared" si="44"/>
        <v>challengedresearch</v>
      </c>
      <c r="N851" t="s">
        <v>28</v>
      </c>
      <c r="O851" t="s">
        <v>696</v>
      </c>
      <c r="P851" t="s">
        <v>774</v>
      </c>
      <c r="Q851">
        <v>529400.72900000005</v>
      </c>
    </row>
    <row r="852" spans="1:17" x14ac:dyDescent="0.2">
      <c r="A852" t="s">
        <v>1166</v>
      </c>
      <c r="B852" s="1">
        <v>9.2983470999999998E-2</v>
      </c>
      <c r="C852">
        <v>34028532.899999999</v>
      </c>
      <c r="D852">
        <f>(C852*50)/(3*200)</f>
        <v>2835711.0750000002</v>
      </c>
      <c r="E852">
        <f>D852*200</f>
        <v>567142215</v>
      </c>
      <c r="F852" t="s">
        <v>33</v>
      </c>
      <c r="G852" t="s">
        <v>41</v>
      </c>
      <c r="H852" t="s">
        <v>16</v>
      </c>
      <c r="I852" t="s">
        <v>16</v>
      </c>
      <c r="J852" t="s">
        <v>16</v>
      </c>
      <c r="K852" t="s">
        <v>16</v>
      </c>
      <c r="L852" t="s">
        <v>695</v>
      </c>
      <c r="M852" t="str">
        <f t="shared" ref="M852" si="45">CONCATENATE(G852, L852)</f>
        <v>challengedresearch</v>
      </c>
      <c r="N852" t="s">
        <v>28</v>
      </c>
      <c r="O852" t="s">
        <v>696</v>
      </c>
      <c r="P852" t="s">
        <v>774</v>
      </c>
    </row>
    <row r="853" spans="1:17" x14ac:dyDescent="0.2">
      <c r="A853" t="s">
        <v>781</v>
      </c>
      <c r="B853" t="s">
        <v>16</v>
      </c>
      <c r="C853">
        <v>1001.057619</v>
      </c>
      <c r="D853">
        <v>92.690520320000005</v>
      </c>
      <c r="E853">
        <v>18538.104060000001</v>
      </c>
      <c r="F853" t="s">
        <v>19</v>
      </c>
      <c r="G853" t="s">
        <v>91</v>
      </c>
      <c r="H853" t="s">
        <v>16</v>
      </c>
      <c r="I853" t="s">
        <v>16</v>
      </c>
      <c r="J853" t="s">
        <v>16</v>
      </c>
      <c r="K853" t="s">
        <v>16</v>
      </c>
      <c r="L853" t="s">
        <v>695</v>
      </c>
      <c r="M853" t="str">
        <f t="shared" si="44"/>
        <v>ABXresearch</v>
      </c>
      <c r="N853" t="s">
        <v>28</v>
      </c>
      <c r="O853" t="s">
        <v>696</v>
      </c>
      <c r="P853" t="s">
        <v>782</v>
      </c>
      <c r="Q853">
        <v>83.184704519999997</v>
      </c>
    </row>
    <row r="854" spans="1:17" x14ac:dyDescent="0.2">
      <c r="A854" t="s">
        <v>783</v>
      </c>
      <c r="B854">
        <v>0.120942169</v>
      </c>
      <c r="C854">
        <v>102.66281069999999</v>
      </c>
      <c r="D854">
        <v>9.5058158039999991</v>
      </c>
      <c r="E854">
        <v>1901.1631609999999</v>
      </c>
      <c r="F854" t="s">
        <v>19</v>
      </c>
      <c r="G854" t="s">
        <v>32</v>
      </c>
      <c r="H854" t="s">
        <v>16</v>
      </c>
      <c r="I854" t="s">
        <v>16</v>
      </c>
      <c r="J854" t="s">
        <v>16</v>
      </c>
      <c r="K854" t="s">
        <v>16</v>
      </c>
      <c r="L854" t="s">
        <v>695</v>
      </c>
      <c r="M854" t="str">
        <f t="shared" si="44"/>
        <v>abx_challengedresearch</v>
      </c>
      <c r="N854" t="s">
        <v>28</v>
      </c>
      <c r="O854" t="s">
        <v>696</v>
      </c>
      <c r="P854" t="s">
        <v>782</v>
      </c>
      <c r="Q854">
        <v>-44877.872040000002</v>
      </c>
    </row>
    <row r="855" spans="1:17" x14ac:dyDescent="0.2">
      <c r="A855" t="s">
        <v>1126</v>
      </c>
      <c r="B855">
        <v>0.15317973300000001</v>
      </c>
      <c r="C855">
        <v>160110166.59999999</v>
      </c>
      <c r="D855">
        <v>960660.99979999999</v>
      </c>
      <c r="E855">
        <v>192132200</v>
      </c>
      <c r="F855" t="s">
        <v>33</v>
      </c>
      <c r="G855" t="s">
        <v>32</v>
      </c>
      <c r="H855" t="s">
        <v>16</v>
      </c>
      <c r="I855" t="s">
        <v>16</v>
      </c>
      <c r="J855" t="s">
        <v>16</v>
      </c>
      <c r="K855" t="s">
        <v>16</v>
      </c>
      <c r="L855" t="s">
        <v>695</v>
      </c>
      <c r="M855" t="str">
        <f t="shared" si="44"/>
        <v>abx_challengedresearch</v>
      </c>
      <c r="N855" t="s">
        <v>28</v>
      </c>
      <c r="O855" t="s">
        <v>696</v>
      </c>
      <c r="P855" t="s">
        <v>782</v>
      </c>
      <c r="Q855">
        <v>915773.62190000003</v>
      </c>
    </row>
    <row r="856" spans="1:17" x14ac:dyDescent="0.2">
      <c r="A856" t="s">
        <v>784</v>
      </c>
      <c r="B856">
        <v>0.23307413099999999</v>
      </c>
      <c r="C856">
        <v>7481229.6430000002</v>
      </c>
      <c r="D856">
        <v>44887.377860000001</v>
      </c>
      <c r="E856">
        <v>8977475.5720000006</v>
      </c>
      <c r="F856" t="s">
        <v>17</v>
      </c>
      <c r="G856" t="s">
        <v>32</v>
      </c>
      <c r="H856" t="s">
        <v>16</v>
      </c>
      <c r="I856" t="s">
        <v>16</v>
      </c>
      <c r="J856" t="s">
        <v>16</v>
      </c>
      <c r="K856" t="s">
        <v>16</v>
      </c>
      <c r="L856" t="s">
        <v>695</v>
      </c>
      <c r="M856" t="str">
        <f t="shared" si="44"/>
        <v>abx_challengedresearch</v>
      </c>
      <c r="N856" t="s">
        <v>28</v>
      </c>
      <c r="O856" t="s">
        <v>696</v>
      </c>
      <c r="P856" t="s">
        <v>782</v>
      </c>
      <c r="Q856">
        <v>44887.377860000001</v>
      </c>
    </row>
    <row r="857" spans="1:17" x14ac:dyDescent="0.2">
      <c r="A857" t="s">
        <v>785</v>
      </c>
      <c r="B857" s="1">
        <v>0</v>
      </c>
      <c r="C857">
        <v>333.40673320000002</v>
      </c>
      <c r="D857">
        <v>30.870993819999999</v>
      </c>
      <c r="E857">
        <v>6174.1987639999998</v>
      </c>
      <c r="F857" t="s">
        <v>19</v>
      </c>
      <c r="G857" t="s">
        <v>36</v>
      </c>
      <c r="H857" t="s">
        <v>37</v>
      </c>
      <c r="I857" t="s">
        <v>16</v>
      </c>
      <c r="J857" t="s">
        <v>37</v>
      </c>
      <c r="K857">
        <v>1901.1631609999999</v>
      </c>
      <c r="L857" t="s">
        <v>695</v>
      </c>
      <c r="M857" t="str">
        <f t="shared" si="44"/>
        <v>controlresearch</v>
      </c>
      <c r="N857" t="s">
        <v>28</v>
      </c>
      <c r="O857" t="s">
        <v>696</v>
      </c>
      <c r="P857" t="s">
        <v>782</v>
      </c>
      <c r="Q857" t="s">
        <v>16</v>
      </c>
    </row>
    <row r="858" spans="1:17" x14ac:dyDescent="0.2">
      <c r="A858" t="s">
        <v>1127</v>
      </c>
      <c r="B858" s="1">
        <v>0</v>
      </c>
      <c r="C858">
        <v>676981667.10000002</v>
      </c>
      <c r="D858">
        <v>40618900.020000003</v>
      </c>
      <c r="E858">
        <v>8123780005</v>
      </c>
      <c r="F858" t="s">
        <v>33</v>
      </c>
      <c r="G858" t="s">
        <v>36</v>
      </c>
      <c r="H858" t="s">
        <v>38</v>
      </c>
      <c r="I858">
        <v>130817071.7</v>
      </c>
      <c r="J858" t="s">
        <v>38</v>
      </c>
      <c r="K858">
        <v>192132200</v>
      </c>
      <c r="L858" t="s">
        <v>695</v>
      </c>
      <c r="M858" t="str">
        <f t="shared" si="44"/>
        <v>controlresearch</v>
      </c>
      <c r="N858" t="s">
        <v>28</v>
      </c>
      <c r="O858" t="s">
        <v>696</v>
      </c>
      <c r="P858" t="s">
        <v>782</v>
      </c>
      <c r="Q858" t="s">
        <v>16</v>
      </c>
    </row>
    <row r="859" spans="1:17" x14ac:dyDescent="0.2">
      <c r="A859" t="s">
        <v>786</v>
      </c>
      <c r="B859" s="1">
        <v>0</v>
      </c>
      <c r="C859" t="s">
        <v>16</v>
      </c>
      <c r="D859">
        <v>0</v>
      </c>
      <c r="E859">
        <v>0</v>
      </c>
      <c r="F859" t="s">
        <v>17</v>
      </c>
      <c r="G859" t="s">
        <v>36</v>
      </c>
      <c r="H859" t="s">
        <v>38</v>
      </c>
      <c r="I859">
        <v>138063222.90000001</v>
      </c>
      <c r="J859" t="s">
        <v>38</v>
      </c>
      <c r="K859">
        <v>8977475.5720000006</v>
      </c>
      <c r="L859" t="s">
        <v>695</v>
      </c>
      <c r="M859" t="str">
        <f t="shared" si="44"/>
        <v>controlresearch</v>
      </c>
      <c r="N859" t="s">
        <v>28</v>
      </c>
      <c r="O859" t="s">
        <v>696</v>
      </c>
      <c r="P859" t="s">
        <v>782</v>
      </c>
      <c r="Q859" t="s">
        <v>16</v>
      </c>
    </row>
    <row r="860" spans="1:17" x14ac:dyDescent="0.2">
      <c r="A860" t="s">
        <v>787</v>
      </c>
      <c r="B860">
        <v>0.144820747</v>
      </c>
      <c r="C860">
        <v>11505268.58</v>
      </c>
      <c r="D860">
        <v>690316.11470000003</v>
      </c>
      <c r="E860">
        <v>138063222.90000001</v>
      </c>
      <c r="F860" t="s">
        <v>17</v>
      </c>
      <c r="G860" t="s">
        <v>41</v>
      </c>
      <c r="H860" t="s">
        <v>16</v>
      </c>
      <c r="I860" t="s">
        <v>16</v>
      </c>
      <c r="J860" t="s">
        <v>16</v>
      </c>
      <c r="K860" t="s">
        <v>16</v>
      </c>
      <c r="L860" t="s">
        <v>695</v>
      </c>
      <c r="M860" t="str">
        <f t="shared" si="44"/>
        <v>challengedresearch</v>
      </c>
      <c r="N860" t="s">
        <v>28</v>
      </c>
      <c r="O860" t="s">
        <v>696</v>
      </c>
      <c r="P860" t="s">
        <v>782</v>
      </c>
      <c r="Q860">
        <v>690316.11470000003</v>
      </c>
    </row>
    <row r="861" spans="1:17" x14ac:dyDescent="0.2">
      <c r="A861" t="s">
        <v>1165</v>
      </c>
      <c r="B861" s="1">
        <v>0.125930141</v>
      </c>
      <c r="C861">
        <v>7849024.2999999998</v>
      </c>
      <c r="D861">
        <f>(C861*50)/(3*200)</f>
        <v>654085.35833333328</v>
      </c>
      <c r="E861">
        <f>D861*200</f>
        <v>130817071.66666666</v>
      </c>
      <c r="F861" t="s">
        <v>33</v>
      </c>
      <c r="G861" t="s">
        <v>41</v>
      </c>
      <c r="H861" t="s">
        <v>16</v>
      </c>
      <c r="I861" t="s">
        <v>16</v>
      </c>
      <c r="J861" t="s">
        <v>16</v>
      </c>
      <c r="K861" t="s">
        <v>16</v>
      </c>
      <c r="L861" t="s">
        <v>695</v>
      </c>
      <c r="M861" t="str">
        <f t="shared" ref="M861" si="46">CONCATENATE(G861, L861)</f>
        <v>challengedresearch</v>
      </c>
      <c r="N861" t="s">
        <v>28</v>
      </c>
      <c r="O861" t="s">
        <v>696</v>
      </c>
      <c r="P861" t="s">
        <v>782</v>
      </c>
    </row>
    <row r="862" spans="1:17" x14ac:dyDescent="0.2">
      <c r="A862" t="s">
        <v>788</v>
      </c>
      <c r="B862" t="s">
        <v>16</v>
      </c>
      <c r="C862" t="s">
        <v>16</v>
      </c>
      <c r="D862" t="s">
        <v>16</v>
      </c>
      <c r="E862" t="s">
        <v>16</v>
      </c>
      <c r="F862" t="s">
        <v>26</v>
      </c>
      <c r="G862" t="s">
        <v>26</v>
      </c>
      <c r="H862" t="s">
        <v>16</v>
      </c>
      <c r="I862" t="s">
        <v>16</v>
      </c>
      <c r="J862" t="s">
        <v>16</v>
      </c>
      <c r="K862" t="s">
        <v>16</v>
      </c>
      <c r="L862" t="s">
        <v>695</v>
      </c>
      <c r="M862" t="str">
        <f t="shared" si="44"/>
        <v>fecalresearch</v>
      </c>
      <c r="N862" t="s">
        <v>28</v>
      </c>
      <c r="O862" t="s">
        <v>696</v>
      </c>
      <c r="P862" t="s">
        <v>789</v>
      </c>
      <c r="Q862" t="s">
        <v>16</v>
      </c>
    </row>
    <row r="863" spans="1:17" x14ac:dyDescent="0.2">
      <c r="A863" t="s">
        <v>790</v>
      </c>
      <c r="B863">
        <v>0.14242121399999999</v>
      </c>
      <c r="C863" t="s">
        <v>16</v>
      </c>
      <c r="D863">
        <v>0</v>
      </c>
      <c r="E863">
        <v>0</v>
      </c>
      <c r="F863" t="s">
        <v>19</v>
      </c>
      <c r="G863" t="s">
        <v>32</v>
      </c>
      <c r="H863" t="s">
        <v>16</v>
      </c>
      <c r="I863" t="s">
        <v>16</v>
      </c>
      <c r="J863" t="s">
        <v>16</v>
      </c>
      <c r="K863" t="s">
        <v>16</v>
      </c>
      <c r="L863" t="s">
        <v>695</v>
      </c>
      <c r="M863" t="str">
        <f t="shared" si="44"/>
        <v>abx_challengedresearch</v>
      </c>
      <c r="N863" t="s">
        <v>28</v>
      </c>
      <c r="O863" t="s">
        <v>696</v>
      </c>
      <c r="P863" t="s">
        <v>789</v>
      </c>
      <c r="Q863">
        <v>0</v>
      </c>
    </row>
    <row r="864" spans="1:17" x14ac:dyDescent="0.2">
      <c r="A864" t="s">
        <v>1128</v>
      </c>
      <c r="B864">
        <v>0.12556215000000001</v>
      </c>
      <c r="C864">
        <v>127838862.5</v>
      </c>
      <c r="D864">
        <v>767033.17489999998</v>
      </c>
      <c r="E864">
        <v>153406635</v>
      </c>
      <c r="F864" t="s">
        <v>33</v>
      </c>
      <c r="G864" t="s">
        <v>32</v>
      </c>
      <c r="H864" t="s">
        <v>16</v>
      </c>
      <c r="I864" t="s">
        <v>16</v>
      </c>
      <c r="J864" t="s">
        <v>16</v>
      </c>
      <c r="K864" t="s">
        <v>16</v>
      </c>
      <c r="L864" t="s">
        <v>695</v>
      </c>
      <c r="M864" t="str">
        <f t="shared" si="44"/>
        <v>abx_challengedresearch</v>
      </c>
      <c r="N864" t="s">
        <v>28</v>
      </c>
      <c r="O864" t="s">
        <v>696</v>
      </c>
      <c r="P864" t="s">
        <v>789</v>
      </c>
      <c r="Q864">
        <v>722536.37650000001</v>
      </c>
    </row>
    <row r="865" spans="1:17" x14ac:dyDescent="0.2">
      <c r="A865" t="s">
        <v>791</v>
      </c>
      <c r="B865">
        <v>0.17630732099999999</v>
      </c>
      <c r="C865">
        <v>7416133.057</v>
      </c>
      <c r="D865">
        <v>44496.798340000001</v>
      </c>
      <c r="E865">
        <v>8899359.6689999998</v>
      </c>
      <c r="F865" t="s">
        <v>17</v>
      </c>
      <c r="G865" t="s">
        <v>32</v>
      </c>
      <c r="H865" t="s">
        <v>16</v>
      </c>
      <c r="I865" t="s">
        <v>16</v>
      </c>
      <c r="J865" t="s">
        <v>16</v>
      </c>
      <c r="K865" t="s">
        <v>16</v>
      </c>
      <c r="L865" t="s">
        <v>695</v>
      </c>
      <c r="M865" t="str">
        <f t="shared" si="44"/>
        <v>abx_challengedresearch</v>
      </c>
      <c r="N865" t="s">
        <v>28</v>
      </c>
      <c r="O865" t="s">
        <v>696</v>
      </c>
      <c r="P865" t="s">
        <v>789</v>
      </c>
      <c r="Q865">
        <v>44496.798340000001</v>
      </c>
    </row>
    <row r="866" spans="1:17" x14ac:dyDescent="0.2">
      <c r="A866" t="s">
        <v>792</v>
      </c>
      <c r="B866" s="1">
        <v>0</v>
      </c>
      <c r="C866" t="s">
        <v>16</v>
      </c>
      <c r="D866">
        <v>0</v>
      </c>
      <c r="E866">
        <v>0</v>
      </c>
      <c r="F866" t="s">
        <v>19</v>
      </c>
      <c r="G866" t="s">
        <v>36</v>
      </c>
      <c r="H866" t="s">
        <v>37</v>
      </c>
      <c r="I866">
        <v>0</v>
      </c>
      <c r="J866" t="s">
        <v>37</v>
      </c>
      <c r="K866">
        <v>0</v>
      </c>
      <c r="L866" t="s">
        <v>695</v>
      </c>
      <c r="M866" t="str">
        <f t="shared" si="44"/>
        <v>controlresearch</v>
      </c>
      <c r="N866" t="s">
        <v>28</v>
      </c>
      <c r="O866" t="s">
        <v>696</v>
      </c>
      <c r="P866" t="s">
        <v>789</v>
      </c>
      <c r="Q866" t="s">
        <v>16</v>
      </c>
    </row>
    <row r="867" spans="1:17" x14ac:dyDescent="0.2">
      <c r="A867" t="s">
        <v>1129</v>
      </c>
      <c r="B867" s="1">
        <v>0</v>
      </c>
      <c r="C867">
        <v>332072462.19999999</v>
      </c>
      <c r="D867">
        <v>19924347.73</v>
      </c>
      <c r="E867">
        <v>3984869547</v>
      </c>
      <c r="F867" t="s">
        <v>33</v>
      </c>
      <c r="G867" t="s">
        <v>36</v>
      </c>
      <c r="H867" t="s">
        <v>38</v>
      </c>
      <c r="I867">
        <v>157298901.69999999</v>
      </c>
      <c r="J867" t="s">
        <v>38</v>
      </c>
      <c r="K867">
        <v>153406635</v>
      </c>
      <c r="L867" t="s">
        <v>695</v>
      </c>
      <c r="M867" t="str">
        <f t="shared" si="44"/>
        <v>controlresearch</v>
      </c>
      <c r="N867" t="s">
        <v>28</v>
      </c>
      <c r="O867" t="s">
        <v>696</v>
      </c>
      <c r="P867" t="s">
        <v>789</v>
      </c>
      <c r="Q867" t="s">
        <v>16</v>
      </c>
    </row>
    <row r="868" spans="1:17" x14ac:dyDescent="0.2">
      <c r="A868" t="s">
        <v>793</v>
      </c>
      <c r="B868" s="1">
        <v>0</v>
      </c>
      <c r="C868" t="s">
        <v>16</v>
      </c>
      <c r="D868">
        <v>0</v>
      </c>
      <c r="E868">
        <v>0</v>
      </c>
      <c r="F868" t="s">
        <v>17</v>
      </c>
      <c r="G868" t="s">
        <v>36</v>
      </c>
      <c r="H868" t="s">
        <v>38</v>
      </c>
      <c r="I868">
        <v>92851540.010000005</v>
      </c>
      <c r="J868" t="s">
        <v>38</v>
      </c>
      <c r="K868">
        <v>8899359.6689999998</v>
      </c>
      <c r="L868" t="s">
        <v>695</v>
      </c>
      <c r="M868" t="str">
        <f t="shared" si="44"/>
        <v>controlresearch</v>
      </c>
      <c r="N868" t="s">
        <v>28</v>
      </c>
      <c r="O868" t="s">
        <v>696</v>
      </c>
      <c r="P868" t="s">
        <v>789</v>
      </c>
      <c r="Q868" t="s">
        <v>16</v>
      </c>
    </row>
    <row r="869" spans="1:17" x14ac:dyDescent="0.2">
      <c r="A869" t="s">
        <v>794</v>
      </c>
      <c r="B869">
        <v>0.159629669</v>
      </c>
      <c r="C869" t="s">
        <v>16</v>
      </c>
      <c r="D869">
        <v>0</v>
      </c>
      <c r="E869">
        <v>0</v>
      </c>
      <c r="F869" t="s">
        <v>19</v>
      </c>
      <c r="G869" t="s">
        <v>41</v>
      </c>
      <c r="H869" t="s">
        <v>16</v>
      </c>
      <c r="I869" t="s">
        <v>16</v>
      </c>
      <c r="J869" t="s">
        <v>16</v>
      </c>
      <c r="K869" t="s">
        <v>16</v>
      </c>
      <c r="L869" t="s">
        <v>695</v>
      </c>
      <c r="M869" t="str">
        <f t="shared" si="44"/>
        <v>challengedresearch</v>
      </c>
      <c r="N869" t="s">
        <v>28</v>
      </c>
      <c r="O869" t="s">
        <v>696</v>
      </c>
      <c r="P869" t="s">
        <v>789</v>
      </c>
      <c r="Q869">
        <v>0</v>
      </c>
    </row>
    <row r="870" spans="1:17" x14ac:dyDescent="0.2">
      <c r="A870" t="s">
        <v>795</v>
      </c>
      <c r="B870">
        <v>0.13408472499999999</v>
      </c>
      <c r="C870">
        <v>7737628.3339999998</v>
      </c>
      <c r="D870">
        <v>464257.7</v>
      </c>
      <c r="E870">
        <v>92851540.010000005</v>
      </c>
      <c r="F870" t="s">
        <v>17</v>
      </c>
      <c r="G870" t="s">
        <v>41</v>
      </c>
      <c r="H870" t="s">
        <v>16</v>
      </c>
      <c r="I870" t="s">
        <v>16</v>
      </c>
      <c r="J870" t="s">
        <v>16</v>
      </c>
      <c r="K870" t="s">
        <v>16</v>
      </c>
      <c r="L870" t="s">
        <v>695</v>
      </c>
      <c r="M870" t="str">
        <f t="shared" si="44"/>
        <v>challengedresearch</v>
      </c>
      <c r="N870" t="s">
        <v>28</v>
      </c>
      <c r="O870" t="s">
        <v>696</v>
      </c>
      <c r="P870" t="s">
        <v>789</v>
      </c>
      <c r="Q870">
        <v>464257.7</v>
      </c>
    </row>
    <row r="871" spans="1:17" x14ac:dyDescent="0.2">
      <c r="A871" t="s">
        <v>1164</v>
      </c>
      <c r="B871" s="1">
        <v>0.14904321200000001</v>
      </c>
      <c r="C871">
        <v>9437934.0999999996</v>
      </c>
      <c r="D871">
        <f>(C871*50)/(3*200)</f>
        <v>786494.5083333333</v>
      </c>
      <c r="E871">
        <f>D871*200</f>
        <v>157298901.66666666</v>
      </c>
      <c r="F871" t="s">
        <v>33</v>
      </c>
      <c r="G871" t="s">
        <v>41</v>
      </c>
      <c r="H871" t="s">
        <v>16</v>
      </c>
      <c r="I871" t="s">
        <v>16</v>
      </c>
      <c r="J871" t="s">
        <v>16</v>
      </c>
      <c r="K871" t="s">
        <v>16</v>
      </c>
      <c r="L871" t="s">
        <v>695</v>
      </c>
      <c r="M871" t="str">
        <f t="shared" ref="M871" si="47">CONCATENATE(G871, L871)</f>
        <v>challengedresearch</v>
      </c>
      <c r="N871" t="s">
        <v>28</v>
      </c>
      <c r="O871" t="s">
        <v>696</v>
      </c>
      <c r="P871" t="s">
        <v>789</v>
      </c>
    </row>
    <row r="872" spans="1:17" x14ac:dyDescent="0.2">
      <c r="A872" t="s">
        <v>796</v>
      </c>
      <c r="B872" t="s">
        <v>16</v>
      </c>
      <c r="C872" s="1" t="s">
        <v>16</v>
      </c>
      <c r="D872" s="1" t="s">
        <v>16</v>
      </c>
      <c r="E872" t="s">
        <v>16</v>
      </c>
      <c r="F872" t="s">
        <v>26</v>
      </c>
      <c r="G872" t="s">
        <v>26</v>
      </c>
      <c r="H872" t="s">
        <v>16</v>
      </c>
      <c r="I872" t="s">
        <v>16</v>
      </c>
      <c r="J872" t="s">
        <v>16</v>
      </c>
      <c r="K872" t="s">
        <v>16</v>
      </c>
      <c r="L872" t="s">
        <v>695</v>
      </c>
      <c r="M872" t="str">
        <f t="shared" si="44"/>
        <v>fecalresearch</v>
      </c>
      <c r="N872" t="s">
        <v>28</v>
      </c>
      <c r="O872" t="s">
        <v>696</v>
      </c>
      <c r="P872" t="s">
        <v>797</v>
      </c>
      <c r="Q872" t="s">
        <v>16</v>
      </c>
    </row>
    <row r="873" spans="1:17" x14ac:dyDescent="0.2">
      <c r="A873" t="s">
        <v>798</v>
      </c>
      <c r="B873" t="s">
        <v>16</v>
      </c>
      <c r="C873">
        <v>447.27557648610264</v>
      </c>
      <c r="D873">
        <v>41.414405230194689</v>
      </c>
      <c r="E873">
        <f>D873*200</f>
        <v>8282.8810460389377</v>
      </c>
      <c r="F873" t="s">
        <v>19</v>
      </c>
      <c r="G873" t="s">
        <v>32</v>
      </c>
      <c r="H873" t="s">
        <v>16</v>
      </c>
      <c r="I873" t="s">
        <v>16</v>
      </c>
      <c r="J873" t="s">
        <v>16</v>
      </c>
      <c r="K873" t="s">
        <v>16</v>
      </c>
      <c r="L873" t="s">
        <v>695</v>
      </c>
      <c r="M873" t="str">
        <f t="shared" si="44"/>
        <v>abx_challengedresearch</v>
      </c>
      <c r="N873" t="s">
        <v>28</v>
      </c>
      <c r="O873" t="s">
        <v>696</v>
      </c>
      <c r="P873" t="s">
        <v>797</v>
      </c>
      <c r="Q873">
        <f>E873</f>
        <v>8282.8810460389377</v>
      </c>
    </row>
    <row r="874" spans="1:17" x14ac:dyDescent="0.2">
      <c r="A874" t="s">
        <v>799</v>
      </c>
      <c r="B874">
        <v>0</v>
      </c>
      <c r="C874" t="s">
        <v>16</v>
      </c>
      <c r="D874">
        <v>0</v>
      </c>
      <c r="E874">
        <f t="shared" ref="E874:E875" si="48">D874*200</f>
        <v>0</v>
      </c>
      <c r="F874" t="s">
        <v>19</v>
      </c>
      <c r="G874" t="s">
        <v>36</v>
      </c>
      <c r="H874" t="s">
        <v>37</v>
      </c>
      <c r="I874">
        <f>E875</f>
        <v>5117.3817047944876</v>
      </c>
      <c r="J874" t="s">
        <v>37</v>
      </c>
      <c r="K874">
        <f>E873</f>
        <v>8282.8810460389377</v>
      </c>
      <c r="L874" t="s">
        <v>695</v>
      </c>
      <c r="M874" t="str">
        <f t="shared" si="44"/>
        <v>controlresearch</v>
      </c>
      <c r="N874" t="s">
        <v>28</v>
      </c>
      <c r="O874" t="s">
        <v>696</v>
      </c>
      <c r="P874" t="s">
        <v>797</v>
      </c>
      <c r="Q874" t="s">
        <v>16</v>
      </c>
    </row>
    <row r="875" spans="1:17" x14ac:dyDescent="0.2">
      <c r="A875" t="s">
        <v>800</v>
      </c>
      <c r="B875">
        <v>6.2148250000000002E-2</v>
      </c>
      <c r="C875">
        <v>276.33861205890236</v>
      </c>
      <c r="D875">
        <v>25.58690852397244</v>
      </c>
      <c r="E875">
        <f t="shared" si="48"/>
        <v>5117.3817047944876</v>
      </c>
      <c r="F875" t="s">
        <v>19</v>
      </c>
      <c r="G875" t="s">
        <v>41</v>
      </c>
      <c r="H875" t="s">
        <v>16</v>
      </c>
      <c r="I875" t="s">
        <v>16</v>
      </c>
      <c r="J875" t="s">
        <v>16</v>
      </c>
      <c r="K875" t="s">
        <v>16</v>
      </c>
      <c r="L875" t="s">
        <v>695</v>
      </c>
      <c r="M875" t="str">
        <f t="shared" si="44"/>
        <v>challengedresearch</v>
      </c>
      <c r="N875" t="s">
        <v>28</v>
      </c>
      <c r="O875" t="s">
        <v>696</v>
      </c>
      <c r="P875" t="s">
        <v>797</v>
      </c>
      <c r="Q875">
        <f>E875</f>
        <v>5117.3817047944876</v>
      </c>
    </row>
    <row r="876" spans="1:17" x14ac:dyDescent="0.2">
      <c r="A876" t="s">
        <v>801</v>
      </c>
      <c r="B876" t="s">
        <v>16</v>
      </c>
      <c r="C876" t="s">
        <v>16</v>
      </c>
      <c r="D876" t="s">
        <v>16</v>
      </c>
      <c r="E876" t="s">
        <v>16</v>
      </c>
      <c r="F876" t="s">
        <v>26</v>
      </c>
      <c r="G876" t="s">
        <v>26</v>
      </c>
      <c r="H876" t="s">
        <v>16</v>
      </c>
      <c r="I876" t="s">
        <v>16</v>
      </c>
      <c r="J876" t="s">
        <v>16</v>
      </c>
      <c r="K876" t="s">
        <v>16</v>
      </c>
      <c r="L876" t="s">
        <v>695</v>
      </c>
      <c r="M876" t="str">
        <f t="shared" si="44"/>
        <v>fecalresearch</v>
      </c>
      <c r="N876" t="s">
        <v>28</v>
      </c>
      <c r="O876" t="s">
        <v>696</v>
      </c>
      <c r="P876" t="s">
        <v>802</v>
      </c>
      <c r="Q876" t="s">
        <v>16</v>
      </c>
    </row>
    <row r="877" spans="1:17" x14ac:dyDescent="0.2">
      <c r="A877" t="s">
        <v>803</v>
      </c>
      <c r="B877">
        <v>0.21197243099999999</v>
      </c>
      <c r="C877">
        <v>6.8345431129999996</v>
      </c>
      <c r="D877">
        <v>0</v>
      </c>
      <c r="E877">
        <v>0</v>
      </c>
      <c r="F877" t="s">
        <v>19</v>
      </c>
      <c r="G877" t="s">
        <v>32</v>
      </c>
      <c r="H877" t="s">
        <v>16</v>
      </c>
      <c r="I877" t="s">
        <v>16</v>
      </c>
      <c r="J877" t="s">
        <v>16</v>
      </c>
      <c r="K877" t="s">
        <v>16</v>
      </c>
      <c r="L877" t="s">
        <v>695</v>
      </c>
      <c r="M877" t="str">
        <f t="shared" si="44"/>
        <v>abx_challengedresearch</v>
      </c>
      <c r="N877" t="s">
        <v>28</v>
      </c>
      <c r="O877" t="s">
        <v>696</v>
      </c>
      <c r="P877" t="s">
        <v>802</v>
      </c>
      <c r="Q877">
        <v>0</v>
      </c>
    </row>
    <row r="878" spans="1:17" x14ac:dyDescent="0.2">
      <c r="A878" t="s">
        <v>1130</v>
      </c>
      <c r="B878">
        <v>0.13104879</v>
      </c>
      <c r="C878">
        <v>177889611.19999999</v>
      </c>
      <c r="D878">
        <v>1067337.6669999999</v>
      </c>
      <c r="E878">
        <v>213467533.5</v>
      </c>
      <c r="F878" t="s">
        <v>33</v>
      </c>
      <c r="G878" t="s">
        <v>32</v>
      </c>
      <c r="H878" t="s">
        <v>16</v>
      </c>
      <c r="I878" t="s">
        <v>16</v>
      </c>
      <c r="J878" t="s">
        <v>16</v>
      </c>
      <c r="K878" t="s">
        <v>16</v>
      </c>
      <c r="L878" t="s">
        <v>695</v>
      </c>
      <c r="M878" t="str">
        <f t="shared" si="44"/>
        <v>abx_challengedresearch</v>
      </c>
      <c r="N878" t="s">
        <v>28</v>
      </c>
      <c r="O878" t="s">
        <v>696</v>
      </c>
      <c r="P878" t="s">
        <v>802</v>
      </c>
      <c r="Q878">
        <v>1045495.2830000001</v>
      </c>
    </row>
    <row r="879" spans="1:17" x14ac:dyDescent="0.2">
      <c r="A879" t="s">
        <v>804</v>
      </c>
      <c r="B879">
        <v>0.30385445799999999</v>
      </c>
      <c r="C879">
        <v>3640397.446</v>
      </c>
      <c r="D879">
        <v>21842.384679999999</v>
      </c>
      <c r="E879">
        <v>4368476.9359999998</v>
      </c>
      <c r="F879" t="s">
        <v>17</v>
      </c>
      <c r="G879" t="s">
        <v>32</v>
      </c>
      <c r="H879" t="s">
        <v>16</v>
      </c>
      <c r="I879" t="s">
        <v>16</v>
      </c>
      <c r="J879" t="s">
        <v>16</v>
      </c>
      <c r="K879" t="s">
        <v>16</v>
      </c>
      <c r="L879" t="s">
        <v>695</v>
      </c>
      <c r="M879" t="str">
        <f t="shared" si="44"/>
        <v>abx_challengedresearch</v>
      </c>
      <c r="N879" t="s">
        <v>28</v>
      </c>
      <c r="O879" t="s">
        <v>696</v>
      </c>
      <c r="P879" t="s">
        <v>802</v>
      </c>
      <c r="Q879">
        <v>21842.384679999999</v>
      </c>
    </row>
    <row r="880" spans="1:17" x14ac:dyDescent="0.2">
      <c r="A880" t="s">
        <v>805</v>
      </c>
      <c r="B880" s="1">
        <v>0</v>
      </c>
      <c r="C880" t="s">
        <v>16</v>
      </c>
      <c r="D880">
        <v>0</v>
      </c>
      <c r="E880">
        <v>0</v>
      </c>
      <c r="F880" t="s">
        <v>19</v>
      </c>
      <c r="G880" t="s">
        <v>36</v>
      </c>
      <c r="H880" t="s">
        <v>37</v>
      </c>
      <c r="I880">
        <v>0</v>
      </c>
      <c r="J880" t="s">
        <v>37</v>
      </c>
      <c r="K880">
        <v>0</v>
      </c>
      <c r="L880" t="s">
        <v>695</v>
      </c>
      <c r="M880" t="str">
        <f t="shared" si="44"/>
        <v>controlresearch</v>
      </c>
      <c r="N880" t="s">
        <v>28</v>
      </c>
      <c r="O880" t="s">
        <v>696</v>
      </c>
      <c r="P880" t="s">
        <v>802</v>
      </c>
      <c r="Q880" t="s">
        <v>16</v>
      </c>
    </row>
    <row r="881" spans="1:17" x14ac:dyDescent="0.2">
      <c r="A881" t="s">
        <v>1131</v>
      </c>
      <c r="B881" s="1">
        <v>0</v>
      </c>
      <c r="C881">
        <v>127157209.90000001</v>
      </c>
      <c r="D881">
        <v>7629432.5920000002</v>
      </c>
      <c r="E881">
        <v>1525886518</v>
      </c>
      <c r="F881" t="s">
        <v>33</v>
      </c>
      <c r="G881" t="s">
        <v>36</v>
      </c>
      <c r="H881" t="s">
        <v>38</v>
      </c>
      <c r="I881">
        <v>143053420</v>
      </c>
      <c r="J881" t="s">
        <v>38</v>
      </c>
      <c r="K881">
        <v>213467533.5</v>
      </c>
      <c r="L881" t="s">
        <v>695</v>
      </c>
      <c r="M881" t="str">
        <f t="shared" si="44"/>
        <v>controlresearch</v>
      </c>
      <c r="N881" t="s">
        <v>28</v>
      </c>
      <c r="O881" t="s">
        <v>696</v>
      </c>
      <c r="P881" t="s">
        <v>802</v>
      </c>
      <c r="Q881" t="s">
        <v>16</v>
      </c>
    </row>
    <row r="882" spans="1:17" x14ac:dyDescent="0.2">
      <c r="A882" t="s">
        <v>806</v>
      </c>
      <c r="B882" s="1">
        <v>0</v>
      </c>
      <c r="C882" t="s">
        <v>16</v>
      </c>
      <c r="D882">
        <v>0</v>
      </c>
      <c r="E882">
        <v>0</v>
      </c>
      <c r="F882" t="s">
        <v>17</v>
      </c>
      <c r="G882" t="s">
        <v>36</v>
      </c>
      <c r="H882" t="s">
        <v>38</v>
      </c>
      <c r="I882">
        <v>187438754.80000001</v>
      </c>
      <c r="J882" t="s">
        <v>38</v>
      </c>
      <c r="K882">
        <v>4368476.9359999998</v>
      </c>
      <c r="L882" t="s">
        <v>695</v>
      </c>
      <c r="M882" t="str">
        <f t="shared" si="44"/>
        <v>controlresearch</v>
      </c>
      <c r="N882" t="s">
        <v>28</v>
      </c>
      <c r="O882" t="s">
        <v>696</v>
      </c>
      <c r="P882" t="s">
        <v>802</v>
      </c>
      <c r="Q882" t="s">
        <v>16</v>
      </c>
    </row>
    <row r="883" spans="1:17" x14ac:dyDescent="0.2">
      <c r="A883" t="s">
        <v>807</v>
      </c>
      <c r="B883">
        <v>0.13771677199999999</v>
      </c>
      <c r="C883">
        <v>35.931717839999997</v>
      </c>
      <c r="D883">
        <v>0</v>
      </c>
      <c r="E883">
        <v>0</v>
      </c>
      <c r="F883" t="s">
        <v>19</v>
      </c>
      <c r="G883" t="s">
        <v>41</v>
      </c>
      <c r="H883" t="s">
        <v>16</v>
      </c>
      <c r="I883" t="s">
        <v>16</v>
      </c>
      <c r="J883" t="s">
        <v>16</v>
      </c>
      <c r="K883" t="s">
        <v>16</v>
      </c>
      <c r="L883" t="s">
        <v>695</v>
      </c>
      <c r="M883" t="str">
        <f t="shared" si="44"/>
        <v>challengedresearch</v>
      </c>
      <c r="N883" t="s">
        <v>28</v>
      </c>
      <c r="O883" t="s">
        <v>696</v>
      </c>
      <c r="P883" t="s">
        <v>802</v>
      </c>
      <c r="Q883">
        <v>0</v>
      </c>
    </row>
    <row r="884" spans="1:17" x14ac:dyDescent="0.2">
      <c r="A884" t="s">
        <v>808</v>
      </c>
      <c r="B884">
        <v>0.122433914</v>
      </c>
      <c r="C884">
        <v>15619896.23</v>
      </c>
      <c r="D884">
        <v>937193.77390000003</v>
      </c>
      <c r="E884">
        <v>187438754.80000001</v>
      </c>
      <c r="F884" t="s">
        <v>17</v>
      </c>
      <c r="G884" t="s">
        <v>41</v>
      </c>
      <c r="H884" t="s">
        <v>16</v>
      </c>
      <c r="I884" t="s">
        <v>16</v>
      </c>
      <c r="J884" t="s">
        <v>16</v>
      </c>
      <c r="K884" t="s">
        <v>16</v>
      </c>
      <c r="L884" t="s">
        <v>695</v>
      </c>
      <c r="M884" t="str">
        <f t="shared" si="44"/>
        <v>challengedresearch</v>
      </c>
      <c r="N884" t="s">
        <v>28</v>
      </c>
      <c r="O884" t="s">
        <v>696</v>
      </c>
      <c r="P884" t="s">
        <v>802</v>
      </c>
      <c r="Q884">
        <v>937193.77390000003</v>
      </c>
    </row>
    <row r="885" spans="1:17" x14ac:dyDescent="0.2">
      <c r="A885" t="s">
        <v>1163</v>
      </c>
      <c r="B885" s="1">
        <v>0.124950321</v>
      </c>
      <c r="C885">
        <v>8583205.1999999993</v>
      </c>
      <c r="D885">
        <f>(C885*50)/(3*200)</f>
        <v>715267.09999999986</v>
      </c>
      <c r="E885">
        <f>D885*200</f>
        <v>143053419.99999997</v>
      </c>
      <c r="F885" t="s">
        <v>33</v>
      </c>
      <c r="G885" t="s">
        <v>41</v>
      </c>
      <c r="H885" t="s">
        <v>16</v>
      </c>
      <c r="I885" t="s">
        <v>16</v>
      </c>
      <c r="J885" t="s">
        <v>16</v>
      </c>
      <c r="K885" t="s">
        <v>16</v>
      </c>
      <c r="L885" t="s">
        <v>695</v>
      </c>
      <c r="M885" t="str">
        <f t="shared" ref="M885" si="49">CONCATENATE(G885, L885)</f>
        <v>challengedresearch</v>
      </c>
      <c r="N885" t="s">
        <v>28</v>
      </c>
      <c r="O885" t="s">
        <v>696</v>
      </c>
      <c r="P885" t="s">
        <v>802</v>
      </c>
    </row>
    <row r="886" spans="1:17" x14ac:dyDescent="0.2">
      <c r="A886" t="s">
        <v>809</v>
      </c>
      <c r="B886" t="s">
        <v>16</v>
      </c>
      <c r="C886" t="s">
        <v>16</v>
      </c>
      <c r="D886" t="s">
        <v>16</v>
      </c>
      <c r="E886" t="s">
        <v>16</v>
      </c>
      <c r="F886" t="s">
        <v>26</v>
      </c>
      <c r="G886" t="s">
        <v>26</v>
      </c>
      <c r="H886" t="s">
        <v>16</v>
      </c>
      <c r="I886" t="s">
        <v>16</v>
      </c>
      <c r="J886" t="s">
        <v>16</v>
      </c>
      <c r="K886" t="s">
        <v>16</v>
      </c>
      <c r="L886" t="s">
        <v>695</v>
      </c>
      <c r="M886" t="str">
        <f t="shared" si="44"/>
        <v>fecalresearch</v>
      </c>
      <c r="N886" t="s">
        <v>28</v>
      </c>
      <c r="O886" t="s">
        <v>810</v>
      </c>
      <c r="P886" t="s">
        <v>811</v>
      </c>
      <c r="Q886" t="s">
        <v>16</v>
      </c>
    </row>
    <row r="887" spans="1:17" x14ac:dyDescent="0.2">
      <c r="A887" t="s">
        <v>812</v>
      </c>
      <c r="B887">
        <v>0.134676882</v>
      </c>
      <c r="C887">
        <v>74.506871309999994</v>
      </c>
      <c r="D887">
        <v>0</v>
      </c>
      <c r="E887">
        <v>0</v>
      </c>
      <c r="F887" t="s">
        <v>19</v>
      </c>
      <c r="G887" t="s">
        <v>32</v>
      </c>
      <c r="H887" t="s">
        <v>16</v>
      </c>
      <c r="I887" t="s">
        <v>16</v>
      </c>
      <c r="J887" t="s">
        <v>16</v>
      </c>
      <c r="K887" t="s">
        <v>16</v>
      </c>
      <c r="L887" t="s">
        <v>695</v>
      </c>
      <c r="M887" t="str">
        <f t="shared" si="44"/>
        <v>abx_challengedresearch</v>
      </c>
      <c r="N887" t="s">
        <v>28</v>
      </c>
      <c r="O887" t="s">
        <v>810</v>
      </c>
      <c r="P887" t="s">
        <v>811</v>
      </c>
      <c r="Q887">
        <v>0</v>
      </c>
    </row>
    <row r="888" spans="1:17" x14ac:dyDescent="0.2">
      <c r="A888" t="s">
        <v>1132</v>
      </c>
      <c r="B888">
        <v>7.7149196000000003E-2</v>
      </c>
      <c r="C888">
        <v>57301328.130000003</v>
      </c>
      <c r="D888">
        <v>343807.96879999997</v>
      </c>
      <c r="E888">
        <v>68761593.760000005</v>
      </c>
      <c r="F888" t="s">
        <v>33</v>
      </c>
      <c r="G888" t="s">
        <v>32</v>
      </c>
      <c r="H888" t="s">
        <v>16</v>
      </c>
      <c r="I888" t="s">
        <v>16</v>
      </c>
      <c r="J888" t="s">
        <v>16</v>
      </c>
      <c r="K888" t="s">
        <v>16</v>
      </c>
      <c r="L888" t="s">
        <v>695</v>
      </c>
      <c r="M888" t="str">
        <f t="shared" si="44"/>
        <v>abx_challengedresearch</v>
      </c>
      <c r="N888" t="s">
        <v>28</v>
      </c>
      <c r="O888" t="s">
        <v>810</v>
      </c>
      <c r="P888" t="s">
        <v>811</v>
      </c>
      <c r="Q888">
        <v>343807.96879999997</v>
      </c>
    </row>
    <row r="889" spans="1:17" x14ac:dyDescent="0.2">
      <c r="A889" t="s">
        <v>813</v>
      </c>
      <c r="B889">
        <v>0.18913909400000001</v>
      </c>
      <c r="C889">
        <v>7523197.6780000003</v>
      </c>
      <c r="D889">
        <v>45139.186070000003</v>
      </c>
      <c r="E889">
        <v>9027837.2139999997</v>
      </c>
      <c r="F889" t="s">
        <v>17</v>
      </c>
      <c r="G889" t="s">
        <v>32</v>
      </c>
      <c r="H889" t="s">
        <v>16</v>
      </c>
      <c r="I889" t="s">
        <v>16</v>
      </c>
      <c r="J889" t="s">
        <v>16</v>
      </c>
      <c r="K889" t="s">
        <v>16</v>
      </c>
      <c r="L889" t="s">
        <v>695</v>
      </c>
      <c r="M889" t="str">
        <f t="shared" si="44"/>
        <v>abx_challengedresearch</v>
      </c>
      <c r="N889" t="s">
        <v>28</v>
      </c>
      <c r="O889" t="s">
        <v>810</v>
      </c>
      <c r="P889" t="s">
        <v>811</v>
      </c>
      <c r="Q889">
        <v>45139.186070000003</v>
      </c>
    </row>
    <row r="890" spans="1:17" x14ac:dyDescent="0.2">
      <c r="A890" t="s">
        <v>814</v>
      </c>
      <c r="B890" s="1">
        <v>0</v>
      </c>
      <c r="C890" t="s">
        <v>16</v>
      </c>
      <c r="D890">
        <v>0</v>
      </c>
      <c r="E890">
        <v>0</v>
      </c>
      <c r="F890" t="s">
        <v>19</v>
      </c>
      <c r="G890" t="s">
        <v>36</v>
      </c>
      <c r="H890" t="s">
        <v>37</v>
      </c>
      <c r="I890">
        <v>3074.3384780000001</v>
      </c>
      <c r="J890" t="s">
        <v>37</v>
      </c>
      <c r="K890">
        <v>0</v>
      </c>
      <c r="L890" t="s">
        <v>695</v>
      </c>
      <c r="M890" t="str">
        <f t="shared" si="44"/>
        <v>controlresearch</v>
      </c>
      <c r="N890" t="s">
        <v>28</v>
      </c>
      <c r="O890" t="s">
        <v>810</v>
      </c>
      <c r="P890" t="s">
        <v>811</v>
      </c>
      <c r="Q890" t="s">
        <v>16</v>
      </c>
    </row>
    <row r="891" spans="1:17" x14ac:dyDescent="0.2">
      <c r="A891" t="s">
        <v>1133</v>
      </c>
      <c r="B891" s="1">
        <v>0</v>
      </c>
      <c r="C891">
        <v>798890353.29999995</v>
      </c>
      <c r="D891">
        <v>47933421.200000003</v>
      </c>
      <c r="E891">
        <v>9586684240</v>
      </c>
      <c r="F891" t="s">
        <v>33</v>
      </c>
      <c r="G891" t="s">
        <v>36</v>
      </c>
      <c r="H891" t="s">
        <v>38</v>
      </c>
      <c r="I891">
        <v>287996700.5</v>
      </c>
      <c r="J891" t="s">
        <v>38</v>
      </c>
      <c r="K891">
        <v>68761593.760000005</v>
      </c>
      <c r="L891" t="s">
        <v>695</v>
      </c>
      <c r="M891" t="str">
        <f t="shared" si="44"/>
        <v>controlresearch</v>
      </c>
      <c r="N891" t="s">
        <v>28</v>
      </c>
      <c r="O891" t="s">
        <v>810</v>
      </c>
      <c r="P891" t="s">
        <v>811</v>
      </c>
      <c r="Q891" t="s">
        <v>16</v>
      </c>
    </row>
    <row r="892" spans="1:17" x14ac:dyDescent="0.2">
      <c r="A892" t="s">
        <v>815</v>
      </c>
      <c r="B892" s="1">
        <v>0</v>
      </c>
      <c r="C892" t="s">
        <v>16</v>
      </c>
      <c r="D892">
        <v>0</v>
      </c>
      <c r="E892">
        <v>0</v>
      </c>
      <c r="F892" t="s">
        <v>17</v>
      </c>
      <c r="G892" t="s">
        <v>36</v>
      </c>
      <c r="H892" t="s">
        <v>38</v>
      </c>
      <c r="I892">
        <v>105010685.09999999</v>
      </c>
      <c r="J892" t="s">
        <v>38</v>
      </c>
      <c r="K892">
        <v>9027837.2139999997</v>
      </c>
      <c r="L892" t="s">
        <v>695</v>
      </c>
      <c r="M892" t="str">
        <f t="shared" si="44"/>
        <v>controlresearch</v>
      </c>
      <c r="N892" t="s">
        <v>28</v>
      </c>
      <c r="O892" t="s">
        <v>810</v>
      </c>
      <c r="P892" t="s">
        <v>811</v>
      </c>
      <c r="Q892" t="s">
        <v>16</v>
      </c>
    </row>
    <row r="893" spans="1:17" x14ac:dyDescent="0.2">
      <c r="A893" t="s">
        <v>816</v>
      </c>
      <c r="B893">
        <v>4.4779825000000002E-2</v>
      </c>
      <c r="C893">
        <v>166.0142778</v>
      </c>
      <c r="D893">
        <v>15.37169239</v>
      </c>
      <c r="E893">
        <v>3074.3384780000001</v>
      </c>
      <c r="F893" t="s">
        <v>19</v>
      </c>
      <c r="G893" t="s">
        <v>41</v>
      </c>
      <c r="H893" t="s">
        <v>16</v>
      </c>
      <c r="I893" t="s">
        <v>16</v>
      </c>
      <c r="J893" t="s">
        <v>16</v>
      </c>
      <c r="K893" t="s">
        <v>16</v>
      </c>
      <c r="L893" t="s">
        <v>695</v>
      </c>
      <c r="M893" t="str">
        <f t="shared" si="44"/>
        <v>challengedresearch</v>
      </c>
      <c r="N893" t="s">
        <v>28</v>
      </c>
      <c r="O893" t="s">
        <v>810</v>
      </c>
      <c r="P893" t="s">
        <v>811</v>
      </c>
      <c r="Q893">
        <v>15.37169239</v>
      </c>
    </row>
    <row r="894" spans="1:17" x14ac:dyDescent="0.2">
      <c r="A894" t="s">
        <v>1134</v>
      </c>
      <c r="B894">
        <v>9.2593554999999994E-2</v>
      </c>
      <c r="C894">
        <v>23999725.039999999</v>
      </c>
      <c r="D894">
        <v>1439983.5020000001</v>
      </c>
      <c r="E894">
        <v>287996700.5</v>
      </c>
      <c r="F894" t="s">
        <v>33</v>
      </c>
      <c r="G894" t="s">
        <v>41</v>
      </c>
      <c r="H894" t="s">
        <v>16</v>
      </c>
      <c r="I894" t="s">
        <v>16</v>
      </c>
      <c r="J894" t="s">
        <v>16</v>
      </c>
      <c r="K894" t="s">
        <v>16</v>
      </c>
      <c r="L894" t="s">
        <v>695</v>
      </c>
      <c r="M894" t="str">
        <f t="shared" si="44"/>
        <v>challengedresearch</v>
      </c>
      <c r="N894" t="s">
        <v>28</v>
      </c>
      <c r="O894" t="s">
        <v>810</v>
      </c>
      <c r="P894" t="s">
        <v>811</v>
      </c>
      <c r="Q894">
        <v>914930.07709999999</v>
      </c>
    </row>
    <row r="895" spans="1:17" x14ac:dyDescent="0.2">
      <c r="A895" t="s">
        <v>817</v>
      </c>
      <c r="B895">
        <v>0.16109291100000001</v>
      </c>
      <c r="C895">
        <v>8750890.4210000001</v>
      </c>
      <c r="D895">
        <v>525053.4253</v>
      </c>
      <c r="E895">
        <v>105010685.09999999</v>
      </c>
      <c r="F895" t="s">
        <v>17</v>
      </c>
      <c r="G895" t="s">
        <v>41</v>
      </c>
      <c r="H895" t="s">
        <v>16</v>
      </c>
      <c r="I895" t="s">
        <v>16</v>
      </c>
      <c r="J895" t="s">
        <v>16</v>
      </c>
      <c r="K895" t="s">
        <v>16</v>
      </c>
      <c r="L895" t="s">
        <v>695</v>
      </c>
      <c r="M895" t="str">
        <f t="shared" si="44"/>
        <v>challengedresearch</v>
      </c>
      <c r="N895" t="s">
        <v>28</v>
      </c>
      <c r="O895" t="s">
        <v>810</v>
      </c>
      <c r="P895" t="s">
        <v>811</v>
      </c>
      <c r="Q895">
        <v>525053.4253</v>
      </c>
    </row>
    <row r="896" spans="1:17" x14ac:dyDescent="0.2">
      <c r="A896" t="s">
        <v>818</v>
      </c>
      <c r="B896" t="s">
        <v>16</v>
      </c>
      <c r="C896" s="1" t="s">
        <v>16</v>
      </c>
      <c r="D896" s="1" t="s">
        <v>16</v>
      </c>
      <c r="E896" t="s">
        <v>16</v>
      </c>
      <c r="F896" t="s">
        <v>26</v>
      </c>
      <c r="G896" t="s">
        <v>26</v>
      </c>
      <c r="H896" t="s">
        <v>16</v>
      </c>
      <c r="I896" t="s">
        <v>16</v>
      </c>
      <c r="J896" t="s">
        <v>16</v>
      </c>
      <c r="K896" t="s">
        <v>16</v>
      </c>
      <c r="L896" t="s">
        <v>695</v>
      </c>
      <c r="M896" t="str">
        <f t="shared" si="44"/>
        <v>fecalresearch</v>
      </c>
      <c r="N896" t="s">
        <v>28</v>
      </c>
      <c r="O896" t="s">
        <v>810</v>
      </c>
      <c r="P896" t="s">
        <v>819</v>
      </c>
      <c r="Q896" t="s">
        <v>16</v>
      </c>
    </row>
    <row r="897" spans="1:17" x14ac:dyDescent="0.2">
      <c r="A897" t="s">
        <v>820</v>
      </c>
      <c r="B897">
        <v>0.17555501100000001</v>
      </c>
      <c r="C897">
        <v>235.851291408702</v>
      </c>
      <c r="D897">
        <v>21.838082537842777</v>
      </c>
      <c r="E897">
        <f>D897*200</f>
        <v>4367.6165075685549</v>
      </c>
      <c r="F897" t="s">
        <v>19</v>
      </c>
      <c r="G897" t="s">
        <v>32</v>
      </c>
      <c r="H897" t="s">
        <v>16</v>
      </c>
      <c r="I897" t="s">
        <v>16</v>
      </c>
      <c r="J897" t="s">
        <v>16</v>
      </c>
      <c r="K897" t="s">
        <v>16</v>
      </c>
      <c r="L897" t="s">
        <v>695</v>
      </c>
      <c r="M897" t="str">
        <f t="shared" si="44"/>
        <v>abx_challengedresearch</v>
      </c>
      <c r="N897" t="s">
        <v>28</v>
      </c>
      <c r="O897" t="s">
        <v>810</v>
      </c>
      <c r="P897" t="s">
        <v>819</v>
      </c>
      <c r="Q897">
        <f>E897-E898</f>
        <v>3773.6347577224597</v>
      </c>
    </row>
    <row r="898" spans="1:17" x14ac:dyDescent="0.2">
      <c r="A898" t="s">
        <v>821</v>
      </c>
      <c r="B898">
        <v>0</v>
      </c>
      <c r="C898">
        <v>32.075014491689132</v>
      </c>
      <c r="D898">
        <v>2.9699087492304752</v>
      </c>
      <c r="E898">
        <f t="shared" ref="E898:E899" si="50">D898*200</f>
        <v>593.981749846095</v>
      </c>
      <c r="F898" t="s">
        <v>19</v>
      </c>
      <c r="G898" t="s">
        <v>36</v>
      </c>
      <c r="H898" t="s">
        <v>37</v>
      </c>
      <c r="I898">
        <f>E899</f>
        <v>48.671428490420304</v>
      </c>
      <c r="J898" t="s">
        <v>37</v>
      </c>
      <c r="K898">
        <f>E897</f>
        <v>4367.6165075685549</v>
      </c>
      <c r="L898" t="s">
        <v>695</v>
      </c>
      <c r="M898" t="str">
        <f t="shared" si="44"/>
        <v>controlresearch</v>
      </c>
      <c r="N898" t="s">
        <v>28</v>
      </c>
      <c r="O898" t="s">
        <v>810</v>
      </c>
      <c r="P898" t="s">
        <v>819</v>
      </c>
      <c r="Q898" t="s">
        <v>16</v>
      </c>
    </row>
    <row r="899" spans="1:17" x14ac:dyDescent="0.2">
      <c r="A899" t="s">
        <v>822</v>
      </c>
      <c r="B899">
        <v>8.5284185999999998E-2</v>
      </c>
      <c r="C899">
        <v>2.6282571384826965</v>
      </c>
      <c r="D899">
        <v>0.24335714245210152</v>
      </c>
      <c r="E899">
        <f t="shared" si="50"/>
        <v>48.671428490420304</v>
      </c>
      <c r="F899" t="s">
        <v>19</v>
      </c>
      <c r="G899" t="s">
        <v>41</v>
      </c>
      <c r="H899" t="s">
        <v>16</v>
      </c>
      <c r="I899" t="s">
        <v>16</v>
      </c>
      <c r="J899" t="s">
        <v>16</v>
      </c>
      <c r="K899" t="s">
        <v>16</v>
      </c>
      <c r="L899" t="s">
        <v>695</v>
      </c>
      <c r="M899" t="str">
        <f t="shared" si="44"/>
        <v>challengedresearch</v>
      </c>
      <c r="N899" t="s">
        <v>28</v>
      </c>
      <c r="O899" t="s">
        <v>810</v>
      </c>
      <c r="P899" t="s">
        <v>819</v>
      </c>
      <c r="Q899">
        <f>E899-E898</f>
        <v>-545.31032135567466</v>
      </c>
    </row>
    <row r="900" spans="1:17" x14ac:dyDescent="0.2">
      <c r="A900" t="s">
        <v>823</v>
      </c>
      <c r="B900" t="s">
        <v>16</v>
      </c>
      <c r="C900" t="s">
        <v>16</v>
      </c>
      <c r="D900" t="s">
        <v>16</v>
      </c>
      <c r="E900" t="s">
        <v>16</v>
      </c>
      <c r="F900" t="s">
        <v>26</v>
      </c>
      <c r="G900" t="s">
        <v>26</v>
      </c>
      <c r="H900" t="s">
        <v>16</v>
      </c>
      <c r="I900" t="s">
        <v>16</v>
      </c>
      <c r="J900" t="s">
        <v>16</v>
      </c>
      <c r="K900" t="s">
        <v>16</v>
      </c>
      <c r="L900" t="s">
        <v>695</v>
      </c>
      <c r="M900" t="str">
        <f t="shared" si="44"/>
        <v>fecalresearch</v>
      </c>
      <c r="N900" t="s">
        <v>28</v>
      </c>
      <c r="O900" t="s">
        <v>810</v>
      </c>
      <c r="P900" t="s">
        <v>824</v>
      </c>
      <c r="Q900" t="s">
        <v>16</v>
      </c>
    </row>
    <row r="901" spans="1:17" x14ac:dyDescent="0.2">
      <c r="A901" t="s">
        <v>825</v>
      </c>
      <c r="B901">
        <v>0.10295357300000001</v>
      </c>
      <c r="C901">
        <v>453.72306570000001</v>
      </c>
      <c r="D901">
        <v>42.011394969999998</v>
      </c>
      <c r="E901">
        <v>8402.2789950000006</v>
      </c>
      <c r="F901" t="s">
        <v>19</v>
      </c>
      <c r="G901" t="s">
        <v>32</v>
      </c>
      <c r="H901" t="s">
        <v>16</v>
      </c>
      <c r="I901" t="s">
        <v>16</v>
      </c>
      <c r="J901" t="s">
        <v>16</v>
      </c>
      <c r="K901" t="s">
        <v>16</v>
      </c>
      <c r="L901" t="s">
        <v>695</v>
      </c>
      <c r="M901" t="str">
        <f t="shared" si="44"/>
        <v>abx_challengedresearch</v>
      </c>
      <c r="N901" t="s">
        <v>28</v>
      </c>
      <c r="O901" t="s">
        <v>810</v>
      </c>
      <c r="P901" t="s">
        <v>824</v>
      </c>
      <c r="Q901">
        <v>42.011394969999998</v>
      </c>
    </row>
    <row r="902" spans="1:17" x14ac:dyDescent="0.2">
      <c r="A902" t="s">
        <v>1135</v>
      </c>
      <c r="B902">
        <v>0.144566206</v>
      </c>
      <c r="C902">
        <v>23305334.170000002</v>
      </c>
      <c r="D902">
        <v>139832.005</v>
      </c>
      <c r="E902">
        <v>27966401.010000002</v>
      </c>
      <c r="F902" t="s">
        <v>33</v>
      </c>
      <c r="G902" t="s">
        <v>32</v>
      </c>
      <c r="H902" t="s">
        <v>16</v>
      </c>
      <c r="I902" t="s">
        <v>16</v>
      </c>
      <c r="J902" t="s">
        <v>16</v>
      </c>
      <c r="K902" t="s">
        <v>16</v>
      </c>
      <c r="L902" t="s">
        <v>695</v>
      </c>
      <c r="M902" t="str">
        <f t="shared" si="44"/>
        <v>abx_challengedresearch</v>
      </c>
      <c r="N902" t="s">
        <v>28</v>
      </c>
      <c r="O902" t="s">
        <v>696</v>
      </c>
      <c r="P902" t="s">
        <v>824</v>
      </c>
      <c r="Q902">
        <v>100085.86380000001</v>
      </c>
    </row>
    <row r="903" spans="1:17" x14ac:dyDescent="0.2">
      <c r="A903" t="s">
        <v>826</v>
      </c>
      <c r="B903">
        <v>0.23084426</v>
      </c>
      <c r="C903">
        <v>6624356.8739999998</v>
      </c>
      <c r="D903">
        <v>39746.141239999997</v>
      </c>
      <c r="E903">
        <v>7949228.2489999998</v>
      </c>
      <c r="F903" t="s">
        <v>17</v>
      </c>
      <c r="G903" t="s">
        <v>32</v>
      </c>
      <c r="H903" t="s">
        <v>16</v>
      </c>
      <c r="I903" t="s">
        <v>16</v>
      </c>
      <c r="J903" t="s">
        <v>16</v>
      </c>
      <c r="K903" t="s">
        <v>16</v>
      </c>
      <c r="L903" t="s">
        <v>695</v>
      </c>
      <c r="M903" t="str">
        <f t="shared" si="44"/>
        <v>abx_challengedresearch</v>
      </c>
      <c r="N903" t="s">
        <v>28</v>
      </c>
      <c r="O903" t="s">
        <v>810</v>
      </c>
      <c r="P903" t="s">
        <v>824</v>
      </c>
      <c r="Q903">
        <v>39746.141239999997</v>
      </c>
    </row>
    <row r="904" spans="1:17" x14ac:dyDescent="0.2">
      <c r="A904" t="s">
        <v>827</v>
      </c>
      <c r="B904" s="1">
        <v>0</v>
      </c>
      <c r="C904">
        <v>43.123412620000003</v>
      </c>
      <c r="D904">
        <v>0</v>
      </c>
      <c r="E904">
        <v>0</v>
      </c>
      <c r="F904" t="s">
        <v>19</v>
      </c>
      <c r="G904" t="s">
        <v>36</v>
      </c>
      <c r="H904" t="s">
        <v>37</v>
      </c>
      <c r="I904">
        <v>5719.9937250000003</v>
      </c>
      <c r="J904" t="s">
        <v>37</v>
      </c>
      <c r="K904">
        <v>8402.2789950000006</v>
      </c>
      <c r="L904" t="s">
        <v>695</v>
      </c>
      <c r="M904" t="str">
        <f t="shared" si="44"/>
        <v>controlresearch</v>
      </c>
      <c r="N904" t="s">
        <v>28</v>
      </c>
      <c r="O904" t="s">
        <v>810</v>
      </c>
      <c r="P904" t="s">
        <v>824</v>
      </c>
      <c r="Q904" t="s">
        <v>16</v>
      </c>
    </row>
    <row r="905" spans="1:17" x14ac:dyDescent="0.2">
      <c r="A905" t="s">
        <v>1136</v>
      </c>
      <c r="B905" s="1">
        <v>0</v>
      </c>
      <c r="C905">
        <v>896718855.29999995</v>
      </c>
      <c r="D905">
        <v>53803131.32</v>
      </c>
      <c r="E905">
        <v>10760626263</v>
      </c>
      <c r="F905" t="s">
        <v>33</v>
      </c>
      <c r="G905" t="s">
        <v>36</v>
      </c>
      <c r="J905" t="s">
        <v>38</v>
      </c>
      <c r="K905">
        <v>27966401.010000002</v>
      </c>
      <c r="L905" t="s">
        <v>695</v>
      </c>
      <c r="M905" t="str">
        <f t="shared" si="44"/>
        <v>controlresearch</v>
      </c>
      <c r="N905" t="s">
        <v>28</v>
      </c>
      <c r="O905" t="s">
        <v>810</v>
      </c>
      <c r="P905" t="s">
        <v>824</v>
      </c>
      <c r="Q905" t="s">
        <v>16</v>
      </c>
    </row>
    <row r="906" spans="1:17" x14ac:dyDescent="0.2">
      <c r="A906" t="s">
        <v>828</v>
      </c>
      <c r="B906" s="1">
        <v>0</v>
      </c>
      <c r="C906" t="s">
        <v>16</v>
      </c>
      <c r="D906">
        <v>0</v>
      </c>
      <c r="E906">
        <v>0</v>
      </c>
      <c r="F906" t="s">
        <v>17</v>
      </c>
      <c r="G906" t="s">
        <v>36</v>
      </c>
      <c r="H906" t="s">
        <v>38</v>
      </c>
      <c r="I906">
        <v>124567470.90000001</v>
      </c>
      <c r="J906" t="s">
        <v>38</v>
      </c>
      <c r="K906">
        <v>7949228.2489999998</v>
      </c>
      <c r="L906" t="s">
        <v>695</v>
      </c>
      <c r="M906" t="str">
        <f t="shared" si="44"/>
        <v>controlresearch</v>
      </c>
      <c r="N906" t="s">
        <v>28</v>
      </c>
      <c r="O906" t="s">
        <v>810</v>
      </c>
      <c r="P906" t="s">
        <v>824</v>
      </c>
      <c r="Q906" t="s">
        <v>16</v>
      </c>
    </row>
    <row r="907" spans="1:17" x14ac:dyDescent="0.2">
      <c r="A907" t="s">
        <v>829</v>
      </c>
      <c r="B907" t="s">
        <v>16</v>
      </c>
      <c r="C907">
        <v>308.87966110000002</v>
      </c>
      <c r="D907">
        <v>28.599968619999999</v>
      </c>
      <c r="E907">
        <v>5719.9937250000003</v>
      </c>
      <c r="F907" t="s">
        <v>19</v>
      </c>
      <c r="G907" t="s">
        <v>41</v>
      </c>
      <c r="H907" t="s">
        <v>16</v>
      </c>
      <c r="I907" t="s">
        <v>16</v>
      </c>
      <c r="J907" t="s">
        <v>16</v>
      </c>
      <c r="K907" t="s">
        <v>16</v>
      </c>
      <c r="L907" t="s">
        <v>695</v>
      </c>
      <c r="M907" t="str">
        <f t="shared" si="44"/>
        <v>challengedresearch</v>
      </c>
      <c r="N907" t="s">
        <v>28</v>
      </c>
      <c r="O907" t="s">
        <v>810</v>
      </c>
      <c r="P907" t="s">
        <v>824</v>
      </c>
      <c r="Q907">
        <v>28.599968619999999</v>
      </c>
    </row>
    <row r="908" spans="1:17" x14ac:dyDescent="0.2">
      <c r="A908" t="s">
        <v>830</v>
      </c>
      <c r="B908">
        <v>4.9091543000000001E-2</v>
      </c>
      <c r="C908">
        <v>10380622.58</v>
      </c>
      <c r="D908">
        <v>622837.35459999996</v>
      </c>
      <c r="E908">
        <v>124567470.90000001</v>
      </c>
      <c r="F908" t="s">
        <v>17</v>
      </c>
      <c r="G908" t="s">
        <v>41</v>
      </c>
      <c r="H908" t="s">
        <v>16</v>
      </c>
      <c r="I908" t="s">
        <v>16</v>
      </c>
      <c r="J908" t="s">
        <v>16</v>
      </c>
      <c r="K908" t="s">
        <v>16</v>
      </c>
      <c r="L908" t="s">
        <v>695</v>
      </c>
      <c r="M908" t="str">
        <f t="shared" si="44"/>
        <v>challengedresearch</v>
      </c>
      <c r="N908" t="s">
        <v>28</v>
      </c>
      <c r="O908" t="s">
        <v>810</v>
      </c>
      <c r="P908" t="s">
        <v>824</v>
      </c>
      <c r="Q908">
        <v>622837.35459999996</v>
      </c>
    </row>
    <row r="909" spans="1:17" x14ac:dyDescent="0.2">
      <c r="A909" t="s">
        <v>831</v>
      </c>
      <c r="B909" t="s">
        <v>16</v>
      </c>
      <c r="C909" t="s">
        <v>16</v>
      </c>
      <c r="D909" t="s">
        <v>16</v>
      </c>
      <c r="E909" t="s">
        <v>16</v>
      </c>
      <c r="F909" t="s">
        <v>26</v>
      </c>
      <c r="G909" t="s">
        <v>26</v>
      </c>
      <c r="H909" t="s">
        <v>16</v>
      </c>
      <c r="I909" t="s">
        <v>16</v>
      </c>
      <c r="J909" t="s">
        <v>16</v>
      </c>
      <c r="K909" t="s">
        <v>16</v>
      </c>
      <c r="L909" t="s">
        <v>695</v>
      </c>
      <c r="M909" t="str">
        <f t="shared" si="44"/>
        <v>fecalresearch</v>
      </c>
      <c r="N909" t="s">
        <v>28</v>
      </c>
      <c r="O909" t="s">
        <v>810</v>
      </c>
      <c r="P909" t="s">
        <v>832</v>
      </c>
      <c r="Q909" t="s">
        <v>16</v>
      </c>
    </row>
    <row r="910" spans="1:17" x14ac:dyDescent="0.2">
      <c r="A910" t="s">
        <v>833</v>
      </c>
      <c r="B910">
        <v>0.148064534</v>
      </c>
      <c r="C910">
        <v>46.893340999999999</v>
      </c>
      <c r="D910">
        <v>0</v>
      </c>
      <c r="E910">
        <v>0</v>
      </c>
      <c r="F910" t="s">
        <v>19</v>
      </c>
      <c r="G910" t="s">
        <v>32</v>
      </c>
      <c r="H910" t="s">
        <v>16</v>
      </c>
      <c r="I910" t="s">
        <v>16</v>
      </c>
      <c r="J910" t="s">
        <v>16</v>
      </c>
      <c r="K910" t="s">
        <v>16</v>
      </c>
      <c r="L910" t="s">
        <v>695</v>
      </c>
      <c r="M910" t="str">
        <f t="shared" si="44"/>
        <v>abx_challengedresearch</v>
      </c>
      <c r="N910" t="s">
        <v>28</v>
      </c>
      <c r="O910" t="s">
        <v>810</v>
      </c>
      <c r="P910" t="s">
        <v>832</v>
      </c>
      <c r="Q910">
        <v>0</v>
      </c>
    </row>
    <row r="911" spans="1:17" x14ac:dyDescent="0.2">
      <c r="A911" t="s">
        <v>1137</v>
      </c>
      <c r="B911">
        <v>0.15903836900000001</v>
      </c>
      <c r="C911">
        <v>36867946.609999999</v>
      </c>
      <c r="D911">
        <v>221207.6796</v>
      </c>
      <c r="E911">
        <v>44241535.93</v>
      </c>
      <c r="F911" t="s">
        <v>33</v>
      </c>
      <c r="G911" t="s">
        <v>32</v>
      </c>
      <c r="H911" t="s">
        <v>16</v>
      </c>
      <c r="I911" t="s">
        <v>16</v>
      </c>
      <c r="J911" t="s">
        <v>16</v>
      </c>
      <c r="K911" t="s">
        <v>16</v>
      </c>
      <c r="L911" t="s">
        <v>695</v>
      </c>
      <c r="M911" t="str">
        <f t="shared" si="44"/>
        <v>abx_challengedresearch</v>
      </c>
      <c r="N911" t="s">
        <v>28</v>
      </c>
      <c r="O911" t="s">
        <v>810</v>
      </c>
      <c r="P911" t="s">
        <v>832</v>
      </c>
      <c r="Q911">
        <v>151402.57260000001</v>
      </c>
    </row>
    <row r="912" spans="1:17" x14ac:dyDescent="0.2">
      <c r="A912" t="s">
        <v>834</v>
      </c>
      <c r="B912">
        <v>0.25515486599999998</v>
      </c>
      <c r="C912">
        <v>11634184.5</v>
      </c>
      <c r="D912">
        <v>69805.107029999999</v>
      </c>
      <c r="E912">
        <v>13961021.41</v>
      </c>
      <c r="F912" t="s">
        <v>17</v>
      </c>
      <c r="G912" t="s">
        <v>32</v>
      </c>
      <c r="H912" t="s">
        <v>16</v>
      </c>
      <c r="I912" t="s">
        <v>16</v>
      </c>
      <c r="J912" t="s">
        <v>16</v>
      </c>
      <c r="K912" t="s">
        <v>16</v>
      </c>
      <c r="L912" t="s">
        <v>695</v>
      </c>
      <c r="M912" t="str">
        <f t="shared" si="44"/>
        <v>abx_challengedresearch</v>
      </c>
      <c r="N912" t="s">
        <v>28</v>
      </c>
      <c r="O912" t="s">
        <v>810</v>
      </c>
      <c r="P912" t="s">
        <v>832</v>
      </c>
      <c r="Q912">
        <v>69805.107029999999</v>
      </c>
    </row>
    <row r="913" spans="1:17" x14ac:dyDescent="0.2">
      <c r="A913" t="s">
        <v>835</v>
      </c>
      <c r="B913" s="1">
        <v>0</v>
      </c>
      <c r="C913" t="s">
        <v>16</v>
      </c>
      <c r="D913">
        <v>0</v>
      </c>
      <c r="E913">
        <v>0</v>
      </c>
      <c r="F913" t="s">
        <v>19</v>
      </c>
      <c r="G913" t="s">
        <v>36</v>
      </c>
      <c r="H913" t="s">
        <v>37</v>
      </c>
      <c r="I913">
        <v>0</v>
      </c>
      <c r="J913" t="s">
        <v>37</v>
      </c>
      <c r="K913">
        <v>0</v>
      </c>
      <c r="L913" t="s">
        <v>695</v>
      </c>
      <c r="M913" t="str">
        <f t="shared" si="44"/>
        <v>controlresearch</v>
      </c>
      <c r="N913" t="s">
        <v>28</v>
      </c>
      <c r="O913" t="s">
        <v>810</v>
      </c>
      <c r="P913" t="s">
        <v>832</v>
      </c>
      <c r="Q913" t="s">
        <v>16</v>
      </c>
    </row>
    <row r="914" spans="1:17" x14ac:dyDescent="0.2">
      <c r="A914" t="s">
        <v>1138</v>
      </c>
      <c r="B914" s="1">
        <v>0</v>
      </c>
      <c r="C914">
        <v>29087722.91</v>
      </c>
      <c r="D914">
        <v>1745263.375</v>
      </c>
      <c r="E914">
        <v>349052675</v>
      </c>
      <c r="F914" t="s">
        <v>33</v>
      </c>
      <c r="G914" t="s">
        <v>36</v>
      </c>
      <c r="H914" t="s">
        <v>37</v>
      </c>
      <c r="I914">
        <v>170160.7261</v>
      </c>
      <c r="J914" t="s">
        <v>38</v>
      </c>
      <c r="K914">
        <v>44241535.93</v>
      </c>
      <c r="L914" t="s">
        <v>695</v>
      </c>
      <c r="M914" t="str">
        <f t="shared" si="44"/>
        <v>controlresearch</v>
      </c>
      <c r="N914" t="s">
        <v>28</v>
      </c>
      <c r="O914" t="s">
        <v>810</v>
      </c>
      <c r="P914" t="s">
        <v>832</v>
      </c>
      <c r="Q914" t="s">
        <v>16</v>
      </c>
    </row>
    <row r="915" spans="1:17" x14ac:dyDescent="0.2">
      <c r="A915" t="s">
        <v>836</v>
      </c>
      <c r="B915" s="1">
        <v>0</v>
      </c>
      <c r="C915" t="s">
        <v>16</v>
      </c>
      <c r="D915">
        <v>0</v>
      </c>
      <c r="E915">
        <v>0</v>
      </c>
      <c r="F915" t="s">
        <v>17</v>
      </c>
      <c r="G915" t="s">
        <v>36</v>
      </c>
      <c r="H915" t="s">
        <v>38</v>
      </c>
      <c r="I915">
        <v>104847720.8</v>
      </c>
      <c r="J915" t="s">
        <v>38</v>
      </c>
      <c r="K915">
        <v>13961021.41</v>
      </c>
      <c r="L915" t="s">
        <v>695</v>
      </c>
      <c r="M915" t="str">
        <f t="shared" si="44"/>
        <v>controlresearch</v>
      </c>
      <c r="N915" t="s">
        <v>28</v>
      </c>
      <c r="O915" t="s">
        <v>810</v>
      </c>
      <c r="P915" t="s">
        <v>832</v>
      </c>
      <c r="Q915" t="s">
        <v>16</v>
      </c>
    </row>
    <row r="916" spans="1:17" x14ac:dyDescent="0.2">
      <c r="A916" t="s">
        <v>837</v>
      </c>
      <c r="B916">
        <v>0.16545073499999999</v>
      </c>
      <c r="C916">
        <v>12.25414965</v>
      </c>
      <c r="D916">
        <v>0</v>
      </c>
      <c r="E916">
        <v>0</v>
      </c>
      <c r="F916" t="s">
        <v>19</v>
      </c>
      <c r="G916" t="s">
        <v>41</v>
      </c>
      <c r="H916" t="s">
        <v>16</v>
      </c>
      <c r="I916" t="s">
        <v>16</v>
      </c>
      <c r="J916" t="s">
        <v>16</v>
      </c>
      <c r="K916" t="s">
        <v>16</v>
      </c>
      <c r="L916" t="s">
        <v>695</v>
      </c>
      <c r="M916" t="str">
        <f t="shared" si="44"/>
        <v>challengedresearch</v>
      </c>
      <c r="N916" t="s">
        <v>28</v>
      </c>
      <c r="O916" t="s">
        <v>810</v>
      </c>
      <c r="P916" t="s">
        <v>832</v>
      </c>
      <c r="Q916">
        <v>0</v>
      </c>
    </row>
    <row r="917" spans="1:17" x14ac:dyDescent="0.2">
      <c r="A917" t="s">
        <v>1139</v>
      </c>
      <c r="B917">
        <v>4.2017736E-2</v>
      </c>
      <c r="C917">
        <v>14180.060509999999</v>
      </c>
      <c r="D917">
        <v>850.80363069999999</v>
      </c>
      <c r="E917">
        <v>170160.7261</v>
      </c>
      <c r="F917" t="s">
        <v>33</v>
      </c>
      <c r="G917" t="s">
        <v>41</v>
      </c>
      <c r="H917" t="s">
        <v>16</v>
      </c>
      <c r="I917" t="s">
        <v>16</v>
      </c>
      <c r="J917" t="s">
        <v>16</v>
      </c>
      <c r="K917" t="s">
        <v>16</v>
      </c>
      <c r="L917" t="s">
        <v>695</v>
      </c>
      <c r="M917" t="str">
        <f t="shared" si="44"/>
        <v>challengedresearch</v>
      </c>
      <c r="N917" t="s">
        <v>28</v>
      </c>
      <c r="O917" t="s">
        <v>810</v>
      </c>
      <c r="P917" t="s">
        <v>832</v>
      </c>
      <c r="Q917">
        <v>-348882514.19999999</v>
      </c>
    </row>
    <row r="918" spans="1:17" x14ac:dyDescent="0.2">
      <c r="A918" t="s">
        <v>838</v>
      </c>
      <c r="B918">
        <v>0.107372066</v>
      </c>
      <c r="C918">
        <v>8737310.0649999995</v>
      </c>
      <c r="D918">
        <v>524238.60389999999</v>
      </c>
      <c r="E918">
        <v>104847720.8</v>
      </c>
      <c r="F918" t="s">
        <v>17</v>
      </c>
      <c r="G918" t="s">
        <v>41</v>
      </c>
      <c r="H918" t="s">
        <v>16</v>
      </c>
      <c r="I918" t="s">
        <v>16</v>
      </c>
      <c r="J918" t="s">
        <v>16</v>
      </c>
      <c r="K918" t="s">
        <v>16</v>
      </c>
      <c r="L918" t="s">
        <v>695</v>
      </c>
      <c r="M918" t="str">
        <f t="shared" ref="M918:M981" si="51">CONCATENATE(G918, L918)</f>
        <v>challengedresearch</v>
      </c>
      <c r="N918" t="s">
        <v>28</v>
      </c>
      <c r="O918" t="s">
        <v>810</v>
      </c>
      <c r="P918" t="s">
        <v>832</v>
      </c>
      <c r="Q918">
        <v>524238.60389999999</v>
      </c>
    </row>
    <row r="919" spans="1:17" x14ac:dyDescent="0.2">
      <c r="A919" t="s">
        <v>839</v>
      </c>
      <c r="B919" t="s">
        <v>16</v>
      </c>
      <c r="C919" s="1" t="s">
        <v>16</v>
      </c>
      <c r="D919" s="1" t="s">
        <v>16</v>
      </c>
      <c r="E919" t="s">
        <v>16</v>
      </c>
      <c r="F919" t="s">
        <v>26</v>
      </c>
      <c r="G919" t="s">
        <v>26</v>
      </c>
      <c r="H919" t="s">
        <v>16</v>
      </c>
      <c r="I919" t="s">
        <v>16</v>
      </c>
      <c r="J919" t="s">
        <v>16</v>
      </c>
      <c r="K919" t="s">
        <v>16</v>
      </c>
      <c r="L919" t="s">
        <v>695</v>
      </c>
      <c r="M919" t="str">
        <f t="shared" si="51"/>
        <v>fecalresearch</v>
      </c>
      <c r="N919" t="s">
        <v>28</v>
      </c>
      <c r="O919" t="s">
        <v>810</v>
      </c>
      <c r="P919" t="s">
        <v>840</v>
      </c>
      <c r="Q919" t="s">
        <v>16</v>
      </c>
    </row>
    <row r="920" spans="1:17" x14ac:dyDescent="0.2">
      <c r="A920" t="s">
        <v>841</v>
      </c>
      <c r="B920">
        <v>0.144485366</v>
      </c>
      <c r="C920">
        <v>8.2912019225331104</v>
      </c>
      <c r="D920">
        <v>0.76770388171602877</v>
      </c>
      <c r="E920">
        <f>D920*200</f>
        <v>153.54077634320575</v>
      </c>
      <c r="F920" t="s">
        <v>19</v>
      </c>
      <c r="G920" t="s">
        <v>32</v>
      </c>
      <c r="H920" t="s">
        <v>16</v>
      </c>
      <c r="I920" t="s">
        <v>16</v>
      </c>
      <c r="J920" t="s">
        <v>16</v>
      </c>
      <c r="K920" t="s">
        <v>16</v>
      </c>
      <c r="L920" t="s">
        <v>695</v>
      </c>
      <c r="M920" t="str">
        <f t="shared" si="51"/>
        <v>abx_challengedresearch</v>
      </c>
      <c r="N920" t="s">
        <v>28</v>
      </c>
      <c r="O920" t="s">
        <v>810</v>
      </c>
      <c r="P920" t="s">
        <v>840</v>
      </c>
      <c r="Q920">
        <f>E920-E921</f>
        <v>128.89065106036315</v>
      </c>
    </row>
    <row r="921" spans="1:17" x14ac:dyDescent="0.2">
      <c r="A921" t="s">
        <v>842</v>
      </c>
      <c r="B921">
        <v>0</v>
      </c>
      <c r="C921">
        <v>1.3311067652735</v>
      </c>
      <c r="D921">
        <v>0.12325062641421296</v>
      </c>
      <c r="E921">
        <f t="shared" ref="E921:E925" si="52">D921*200</f>
        <v>24.650125282842591</v>
      </c>
      <c r="F921" t="s">
        <v>19</v>
      </c>
      <c r="G921" t="s">
        <v>36</v>
      </c>
      <c r="H921" t="s">
        <v>37</v>
      </c>
      <c r="I921">
        <v>0</v>
      </c>
      <c r="J921" t="s">
        <v>37</v>
      </c>
      <c r="K921">
        <f>E920</f>
        <v>153.54077634320575</v>
      </c>
      <c r="L921" t="s">
        <v>695</v>
      </c>
      <c r="M921" t="str">
        <f t="shared" si="51"/>
        <v>controlresearch</v>
      </c>
      <c r="N921" t="s">
        <v>28</v>
      </c>
      <c r="O921" t="s">
        <v>810</v>
      </c>
      <c r="P921" t="s">
        <v>840</v>
      </c>
      <c r="Q921" t="s">
        <v>16</v>
      </c>
    </row>
    <row r="922" spans="1:17" x14ac:dyDescent="0.2">
      <c r="A922" t="s">
        <v>843</v>
      </c>
      <c r="B922">
        <v>0.116054184</v>
      </c>
      <c r="C922" t="s">
        <v>16</v>
      </c>
      <c r="D922">
        <v>0</v>
      </c>
      <c r="E922">
        <f t="shared" si="52"/>
        <v>0</v>
      </c>
      <c r="F922" t="s">
        <v>19</v>
      </c>
      <c r="G922" t="s">
        <v>41</v>
      </c>
      <c r="H922" t="s">
        <v>16</v>
      </c>
      <c r="I922" t="s">
        <v>16</v>
      </c>
      <c r="J922" t="s">
        <v>16</v>
      </c>
      <c r="K922" t="s">
        <v>16</v>
      </c>
      <c r="L922" t="s">
        <v>695</v>
      </c>
      <c r="M922" t="str">
        <f t="shared" si="51"/>
        <v>challengedresearch</v>
      </c>
      <c r="N922" t="s">
        <v>28</v>
      </c>
      <c r="O922" t="s">
        <v>810</v>
      </c>
      <c r="P922" t="s">
        <v>840</v>
      </c>
      <c r="Q922">
        <f>E922-E921</f>
        <v>-24.650125282842591</v>
      </c>
    </row>
    <row r="923" spans="1:17" x14ac:dyDescent="0.2">
      <c r="A923" t="s">
        <v>844</v>
      </c>
      <c r="B923" t="s">
        <v>16</v>
      </c>
      <c r="C923" t="s">
        <v>16</v>
      </c>
      <c r="D923">
        <v>0</v>
      </c>
      <c r="E923">
        <f t="shared" si="52"/>
        <v>0</v>
      </c>
      <c r="F923" t="s">
        <v>19</v>
      </c>
      <c r="G923" t="s">
        <v>91</v>
      </c>
      <c r="H923" t="s">
        <v>16</v>
      </c>
      <c r="I923" t="s">
        <v>16</v>
      </c>
      <c r="J923" t="s">
        <v>16</v>
      </c>
      <c r="K923" t="s">
        <v>16</v>
      </c>
      <c r="L923" t="s">
        <v>695</v>
      </c>
      <c r="M923" t="str">
        <f t="shared" si="51"/>
        <v>ABXresearch</v>
      </c>
      <c r="N923" t="s">
        <v>28</v>
      </c>
      <c r="O923" t="s">
        <v>810</v>
      </c>
      <c r="P923" t="s">
        <v>845</v>
      </c>
    </row>
    <row r="924" spans="1:17" x14ac:dyDescent="0.2">
      <c r="A924" t="s">
        <v>846</v>
      </c>
      <c r="B924">
        <v>0.12377067</v>
      </c>
      <c r="C924" t="s">
        <v>16</v>
      </c>
      <c r="D924">
        <v>0</v>
      </c>
      <c r="E924">
        <f t="shared" si="52"/>
        <v>0</v>
      </c>
      <c r="F924" t="s">
        <v>19</v>
      </c>
      <c r="G924" t="s">
        <v>32</v>
      </c>
      <c r="H924" t="s">
        <v>16</v>
      </c>
      <c r="I924" t="s">
        <v>16</v>
      </c>
      <c r="J924" t="s">
        <v>16</v>
      </c>
      <c r="K924" t="s">
        <v>16</v>
      </c>
      <c r="L924" t="s">
        <v>695</v>
      </c>
      <c r="M924" t="str">
        <f t="shared" si="51"/>
        <v>abx_challengedresearch</v>
      </c>
      <c r="N924" t="s">
        <v>28</v>
      </c>
      <c r="O924" t="s">
        <v>810</v>
      </c>
      <c r="P924" t="s">
        <v>845</v>
      </c>
    </row>
    <row r="925" spans="1:17" x14ac:dyDescent="0.2">
      <c r="A925" t="s">
        <v>847</v>
      </c>
      <c r="B925">
        <v>0</v>
      </c>
      <c r="C925">
        <v>84.829261014638021</v>
      </c>
      <c r="D925">
        <v>7.854561205059075</v>
      </c>
      <c r="E925">
        <f t="shared" si="52"/>
        <v>1570.912241011815</v>
      </c>
      <c r="F925" t="s">
        <v>19</v>
      </c>
      <c r="G925" t="s">
        <v>36</v>
      </c>
      <c r="L925" t="s">
        <v>695</v>
      </c>
      <c r="M925" t="str">
        <f t="shared" si="51"/>
        <v>controlresearch</v>
      </c>
      <c r="N925" t="s">
        <v>28</v>
      </c>
      <c r="O925" t="s">
        <v>810</v>
      </c>
      <c r="P925" t="s">
        <v>845</v>
      </c>
      <c r="Q925" t="s">
        <v>16</v>
      </c>
    </row>
    <row r="926" spans="1:17" x14ac:dyDescent="0.2">
      <c r="A926" t="s">
        <v>848</v>
      </c>
      <c r="B926" t="s">
        <v>16</v>
      </c>
      <c r="C926" t="s">
        <v>16</v>
      </c>
      <c r="D926" t="s">
        <v>16</v>
      </c>
      <c r="E926" t="s">
        <v>16</v>
      </c>
      <c r="F926" t="s">
        <v>26</v>
      </c>
      <c r="G926" t="s">
        <v>26</v>
      </c>
      <c r="H926" t="s">
        <v>16</v>
      </c>
      <c r="I926" t="s">
        <v>16</v>
      </c>
      <c r="J926" t="s">
        <v>16</v>
      </c>
      <c r="K926" t="s">
        <v>16</v>
      </c>
      <c r="L926" t="s">
        <v>695</v>
      </c>
      <c r="M926" t="str">
        <f t="shared" si="51"/>
        <v>fecalresearch</v>
      </c>
      <c r="N926" t="s">
        <v>28</v>
      </c>
      <c r="O926" t="s">
        <v>810</v>
      </c>
      <c r="P926" t="s">
        <v>849</v>
      </c>
      <c r="Q926" t="s">
        <v>16</v>
      </c>
    </row>
    <row r="927" spans="1:17" x14ac:dyDescent="0.2">
      <c r="A927" t="s">
        <v>850</v>
      </c>
      <c r="B927">
        <v>0.17041161899999999</v>
      </c>
      <c r="C927">
        <v>11.725379419999999</v>
      </c>
      <c r="D927">
        <v>0</v>
      </c>
      <c r="E927">
        <v>0</v>
      </c>
      <c r="F927" t="s">
        <v>19</v>
      </c>
      <c r="G927" t="s">
        <v>32</v>
      </c>
      <c r="H927" t="s">
        <v>16</v>
      </c>
      <c r="I927" t="s">
        <v>16</v>
      </c>
      <c r="J927" t="s">
        <v>16</v>
      </c>
      <c r="K927" t="s">
        <v>16</v>
      </c>
      <c r="L927" t="s">
        <v>695</v>
      </c>
      <c r="M927" t="str">
        <f t="shared" si="51"/>
        <v>abx_challengedresearch</v>
      </c>
      <c r="N927" t="s">
        <v>28</v>
      </c>
      <c r="O927" t="s">
        <v>810</v>
      </c>
      <c r="P927" t="s">
        <v>849</v>
      </c>
      <c r="Q927">
        <v>-79967.630910000007</v>
      </c>
    </row>
    <row r="928" spans="1:17" x14ac:dyDescent="0.2">
      <c r="A928" t="s">
        <v>1140</v>
      </c>
      <c r="B928">
        <v>0.13356152900000001</v>
      </c>
      <c r="C928">
        <v>36478689.840000004</v>
      </c>
      <c r="D928">
        <v>218872.1391</v>
      </c>
      <c r="E928">
        <v>43774427.810000002</v>
      </c>
      <c r="F928" t="s">
        <v>33</v>
      </c>
      <c r="G928" t="s">
        <v>32</v>
      </c>
      <c r="H928" t="s">
        <v>16</v>
      </c>
      <c r="I928" t="s">
        <v>16</v>
      </c>
      <c r="J928" t="s">
        <v>16</v>
      </c>
      <c r="K928" t="s">
        <v>16</v>
      </c>
      <c r="L928" t="s">
        <v>695</v>
      </c>
      <c r="M928" t="str">
        <f t="shared" si="51"/>
        <v>abx_challengedresearch</v>
      </c>
      <c r="N928" t="s">
        <v>28</v>
      </c>
      <c r="O928" t="s">
        <v>810</v>
      </c>
      <c r="P928" t="s">
        <v>849</v>
      </c>
      <c r="Q928">
        <v>218862.80679999999</v>
      </c>
    </row>
    <row r="929" spans="1:17" x14ac:dyDescent="0.2">
      <c r="A929" t="s">
        <v>851</v>
      </c>
      <c r="B929">
        <v>0.19073905099999999</v>
      </c>
      <c r="C929">
        <v>13327938.48</v>
      </c>
      <c r="D929">
        <v>79967.630910000007</v>
      </c>
      <c r="E929">
        <v>15993526.18</v>
      </c>
      <c r="F929" t="s">
        <v>17</v>
      </c>
      <c r="G929" t="s">
        <v>32</v>
      </c>
      <c r="H929" t="s">
        <v>16</v>
      </c>
      <c r="I929" t="s">
        <v>16</v>
      </c>
      <c r="J929" t="s">
        <v>16</v>
      </c>
      <c r="K929" t="s">
        <v>16</v>
      </c>
      <c r="L929" t="s">
        <v>695</v>
      </c>
      <c r="M929" t="str">
        <f t="shared" si="51"/>
        <v>abx_challengedresearch</v>
      </c>
      <c r="N929" t="s">
        <v>28</v>
      </c>
      <c r="O929" t="s">
        <v>810</v>
      </c>
      <c r="P929" t="s">
        <v>849</v>
      </c>
      <c r="Q929">
        <v>79967.630910000007</v>
      </c>
    </row>
    <row r="930" spans="1:17" x14ac:dyDescent="0.2">
      <c r="A930" t="s">
        <v>852</v>
      </c>
      <c r="B930" s="1">
        <v>0</v>
      </c>
      <c r="C930">
        <v>100.78805130000001</v>
      </c>
      <c r="D930">
        <v>9.3322269720000008</v>
      </c>
      <c r="E930">
        <v>1866.4453940000001</v>
      </c>
      <c r="F930" t="s">
        <v>19</v>
      </c>
      <c r="G930" t="s">
        <v>36</v>
      </c>
      <c r="H930" t="s">
        <v>37</v>
      </c>
      <c r="I930">
        <v>0</v>
      </c>
      <c r="J930" t="s">
        <v>37</v>
      </c>
      <c r="K930">
        <v>0</v>
      </c>
      <c r="L930" t="s">
        <v>695</v>
      </c>
      <c r="M930" t="str">
        <f t="shared" si="51"/>
        <v>controlresearch</v>
      </c>
      <c r="N930" t="s">
        <v>28</v>
      </c>
      <c r="O930" t="s">
        <v>810</v>
      </c>
      <c r="P930" t="s">
        <v>849</v>
      </c>
      <c r="Q930" t="s">
        <v>16</v>
      </c>
    </row>
    <row r="931" spans="1:17" x14ac:dyDescent="0.2">
      <c r="A931" t="s">
        <v>1141</v>
      </c>
      <c r="B931" s="1">
        <v>0</v>
      </c>
      <c r="C931">
        <v>160244820.69999999</v>
      </c>
      <c r="D931">
        <v>9614689.2420000006</v>
      </c>
      <c r="E931">
        <v>1922937848</v>
      </c>
      <c r="F931" t="s">
        <v>33</v>
      </c>
      <c r="G931" t="s">
        <v>36</v>
      </c>
      <c r="H931" t="s">
        <v>38</v>
      </c>
      <c r="I931">
        <v>161796984.40000001</v>
      </c>
      <c r="J931" t="s">
        <v>38</v>
      </c>
      <c r="K931">
        <v>43774427.810000002</v>
      </c>
      <c r="L931" t="s">
        <v>695</v>
      </c>
      <c r="M931" t="str">
        <f t="shared" si="51"/>
        <v>controlresearch</v>
      </c>
      <c r="N931" t="s">
        <v>28</v>
      </c>
      <c r="O931" t="s">
        <v>810</v>
      </c>
      <c r="P931" t="s">
        <v>849</v>
      </c>
      <c r="Q931" t="s">
        <v>16</v>
      </c>
    </row>
    <row r="932" spans="1:17" x14ac:dyDescent="0.2">
      <c r="A932" t="s">
        <v>853</v>
      </c>
      <c r="B932" s="1">
        <v>0</v>
      </c>
      <c r="C932" t="s">
        <v>16</v>
      </c>
      <c r="D932">
        <v>0</v>
      </c>
      <c r="E932">
        <v>0</v>
      </c>
      <c r="F932" t="s">
        <v>17</v>
      </c>
      <c r="G932" t="s">
        <v>36</v>
      </c>
      <c r="H932" t="s">
        <v>38</v>
      </c>
      <c r="I932">
        <v>157736139.80000001</v>
      </c>
      <c r="J932" t="s">
        <v>38</v>
      </c>
      <c r="K932">
        <v>15993526.18</v>
      </c>
      <c r="L932" t="s">
        <v>695</v>
      </c>
      <c r="M932" t="str">
        <f t="shared" si="51"/>
        <v>controlresearch</v>
      </c>
      <c r="N932" t="s">
        <v>28</v>
      </c>
      <c r="O932" t="s">
        <v>810</v>
      </c>
      <c r="P932" t="s">
        <v>849</v>
      </c>
      <c r="Q932" t="s">
        <v>16</v>
      </c>
    </row>
    <row r="933" spans="1:17" x14ac:dyDescent="0.2">
      <c r="A933" t="s">
        <v>854</v>
      </c>
      <c r="B933">
        <v>0.16252860599999999</v>
      </c>
      <c r="C933">
        <v>8.6033749549999996</v>
      </c>
      <c r="D933">
        <v>0</v>
      </c>
      <c r="E933">
        <v>0</v>
      </c>
      <c r="F933" t="s">
        <v>19</v>
      </c>
      <c r="G933" t="s">
        <v>41</v>
      </c>
      <c r="H933" t="s">
        <v>16</v>
      </c>
      <c r="I933" t="s">
        <v>16</v>
      </c>
      <c r="J933" t="s">
        <v>16</v>
      </c>
      <c r="K933" t="s">
        <v>16</v>
      </c>
      <c r="L933" t="s">
        <v>695</v>
      </c>
      <c r="M933" t="str">
        <f t="shared" si="51"/>
        <v>challengedresearch</v>
      </c>
      <c r="N933" t="s">
        <v>28</v>
      </c>
      <c r="O933" t="s">
        <v>810</v>
      </c>
      <c r="P933" t="s">
        <v>849</v>
      </c>
      <c r="Q933">
        <v>-808984.92200000002</v>
      </c>
    </row>
    <row r="934" spans="1:17" x14ac:dyDescent="0.2">
      <c r="A934" t="s">
        <v>1142</v>
      </c>
      <c r="B934">
        <v>0.16121382400000001</v>
      </c>
      <c r="C934">
        <v>13483082.029999999</v>
      </c>
      <c r="D934">
        <v>808984.92200000002</v>
      </c>
      <c r="E934">
        <v>161796984.40000001</v>
      </c>
      <c r="F934" t="s">
        <v>33</v>
      </c>
      <c r="G934" t="s">
        <v>41</v>
      </c>
      <c r="H934" t="s">
        <v>16</v>
      </c>
      <c r="I934" t="s">
        <v>16</v>
      </c>
      <c r="J934" t="s">
        <v>16</v>
      </c>
      <c r="K934" t="s">
        <v>16</v>
      </c>
      <c r="L934" t="s">
        <v>695</v>
      </c>
      <c r="M934" t="str">
        <f t="shared" si="51"/>
        <v>challengedresearch</v>
      </c>
      <c r="N934" t="s">
        <v>28</v>
      </c>
      <c r="O934" t="s">
        <v>810</v>
      </c>
      <c r="P934" t="s">
        <v>849</v>
      </c>
      <c r="Q934">
        <v>20304.22321</v>
      </c>
    </row>
    <row r="935" spans="1:17" x14ac:dyDescent="0.2">
      <c r="A935" t="s">
        <v>855</v>
      </c>
      <c r="B935">
        <v>7.7687697E-2</v>
      </c>
      <c r="C935">
        <v>13144678.310000001</v>
      </c>
      <c r="D935">
        <v>788680.69880000001</v>
      </c>
      <c r="E935">
        <v>157736139.80000001</v>
      </c>
      <c r="F935" t="s">
        <v>17</v>
      </c>
      <c r="G935" t="s">
        <v>41</v>
      </c>
      <c r="H935" t="s">
        <v>16</v>
      </c>
      <c r="I935" t="s">
        <v>16</v>
      </c>
      <c r="J935" t="s">
        <v>16</v>
      </c>
      <c r="K935" t="s">
        <v>16</v>
      </c>
      <c r="L935" t="s">
        <v>695</v>
      </c>
      <c r="M935" t="str">
        <f t="shared" si="51"/>
        <v>challengedresearch</v>
      </c>
      <c r="N935" t="s">
        <v>28</v>
      </c>
      <c r="O935" t="s">
        <v>810</v>
      </c>
      <c r="P935" t="s">
        <v>849</v>
      </c>
      <c r="Q935">
        <v>788680.69880000001</v>
      </c>
    </row>
    <row r="936" spans="1:17" x14ac:dyDescent="0.2">
      <c r="A936" t="s">
        <v>856</v>
      </c>
      <c r="B936" t="s">
        <v>16</v>
      </c>
      <c r="C936" t="s">
        <v>16</v>
      </c>
      <c r="D936" t="s">
        <v>16</v>
      </c>
      <c r="E936" t="s">
        <v>16</v>
      </c>
      <c r="F936" t="s">
        <v>26</v>
      </c>
      <c r="G936" t="s">
        <v>26</v>
      </c>
      <c r="H936" t="s">
        <v>16</v>
      </c>
      <c r="I936" t="s">
        <v>16</v>
      </c>
      <c r="J936" t="s">
        <v>16</v>
      </c>
      <c r="K936" t="s">
        <v>16</v>
      </c>
      <c r="L936" t="s">
        <v>695</v>
      </c>
      <c r="M936" t="str">
        <f t="shared" si="51"/>
        <v>fecalresearch</v>
      </c>
      <c r="N936" t="s">
        <v>28</v>
      </c>
      <c r="O936" t="s">
        <v>810</v>
      </c>
      <c r="P936" t="s">
        <v>857</v>
      </c>
      <c r="Q936" t="s">
        <v>16</v>
      </c>
    </row>
    <row r="937" spans="1:17" x14ac:dyDescent="0.2">
      <c r="A937" t="s">
        <v>858</v>
      </c>
      <c r="B937">
        <v>0.15230379399999999</v>
      </c>
      <c r="C937">
        <v>83.9937963</v>
      </c>
      <c r="D937">
        <v>0</v>
      </c>
      <c r="E937">
        <v>0</v>
      </c>
      <c r="F937" t="s">
        <v>19</v>
      </c>
      <c r="G937" t="s">
        <v>32</v>
      </c>
      <c r="H937" t="s">
        <v>16</v>
      </c>
      <c r="I937" t="s">
        <v>16</v>
      </c>
      <c r="J937" t="s">
        <v>16</v>
      </c>
      <c r="K937" t="s">
        <v>16</v>
      </c>
      <c r="L937" t="s">
        <v>695</v>
      </c>
      <c r="M937" t="str">
        <f t="shared" si="51"/>
        <v>abx_challengedresearch</v>
      </c>
      <c r="N937" t="s">
        <v>28</v>
      </c>
      <c r="O937" t="s">
        <v>810</v>
      </c>
      <c r="P937" t="s">
        <v>857</v>
      </c>
      <c r="Q937">
        <v>11.66580504</v>
      </c>
    </row>
    <row r="938" spans="1:17" x14ac:dyDescent="0.2">
      <c r="A938" t="s">
        <v>1143</v>
      </c>
      <c r="B938">
        <v>0.105654943</v>
      </c>
      <c r="C938">
        <v>25878144.550000001</v>
      </c>
      <c r="D938">
        <v>155268.86730000001</v>
      </c>
      <c r="E938">
        <v>31053773.460000001</v>
      </c>
      <c r="F938" t="s">
        <v>33</v>
      </c>
      <c r="G938" t="s">
        <v>32</v>
      </c>
      <c r="H938" t="s">
        <v>16</v>
      </c>
      <c r="I938" t="s">
        <v>16</v>
      </c>
      <c r="J938" t="s">
        <v>16</v>
      </c>
      <c r="K938" t="s">
        <v>16</v>
      </c>
      <c r="L938" t="s">
        <v>695</v>
      </c>
      <c r="M938" t="str">
        <f t="shared" si="51"/>
        <v>abx_challengedresearch</v>
      </c>
      <c r="N938" t="s">
        <v>28</v>
      </c>
      <c r="O938" t="s">
        <v>810</v>
      </c>
      <c r="P938" t="s">
        <v>857</v>
      </c>
      <c r="Q938">
        <v>104861.4829</v>
      </c>
    </row>
    <row r="939" spans="1:17" x14ac:dyDescent="0.2">
      <c r="A939" t="s">
        <v>859</v>
      </c>
      <c r="B939">
        <v>0.26319276000000003</v>
      </c>
      <c r="C939">
        <v>8401230.7329999991</v>
      </c>
      <c r="D939">
        <v>50407.384400000003</v>
      </c>
      <c r="E939">
        <v>10081476.880000001</v>
      </c>
      <c r="F939" t="s">
        <v>17</v>
      </c>
      <c r="G939" t="s">
        <v>32</v>
      </c>
      <c r="H939" t="s">
        <v>16</v>
      </c>
      <c r="I939" t="s">
        <v>16</v>
      </c>
      <c r="J939" t="s">
        <v>16</v>
      </c>
      <c r="K939" t="s">
        <v>16</v>
      </c>
      <c r="L939" t="s">
        <v>695</v>
      </c>
      <c r="M939" t="str">
        <f t="shared" si="51"/>
        <v>abx_challengedresearch</v>
      </c>
      <c r="N939" t="s">
        <v>28</v>
      </c>
      <c r="O939" t="s">
        <v>810</v>
      </c>
      <c r="P939" t="s">
        <v>857</v>
      </c>
      <c r="Q939">
        <v>50407.384400000003</v>
      </c>
    </row>
    <row r="940" spans="1:17" x14ac:dyDescent="0.2">
      <c r="A940" t="s">
        <v>860</v>
      </c>
      <c r="B940" s="1">
        <v>0</v>
      </c>
      <c r="C940">
        <v>57.085412050000002</v>
      </c>
      <c r="D940">
        <v>0</v>
      </c>
      <c r="E940">
        <v>0</v>
      </c>
      <c r="F940" t="s">
        <v>19</v>
      </c>
      <c r="G940" t="s">
        <v>36</v>
      </c>
      <c r="H940" t="s">
        <v>37</v>
      </c>
      <c r="I940">
        <v>0</v>
      </c>
      <c r="J940" t="s">
        <v>37</v>
      </c>
      <c r="K940">
        <v>0</v>
      </c>
      <c r="L940" t="s">
        <v>695</v>
      </c>
      <c r="M940" t="str">
        <f t="shared" si="51"/>
        <v>controlresearch</v>
      </c>
      <c r="N940" t="s">
        <v>28</v>
      </c>
      <c r="O940" t="s">
        <v>810</v>
      </c>
      <c r="P940" t="s">
        <v>857</v>
      </c>
      <c r="Q940" t="s">
        <v>16</v>
      </c>
    </row>
    <row r="941" spans="1:17" x14ac:dyDescent="0.2">
      <c r="A941" t="s">
        <v>1144</v>
      </c>
      <c r="B941" s="1">
        <v>0</v>
      </c>
      <c r="C941">
        <v>732742115.20000005</v>
      </c>
      <c r="D941">
        <v>43964526.909999996</v>
      </c>
      <c r="E941">
        <v>8792905382</v>
      </c>
      <c r="F941" t="s">
        <v>33</v>
      </c>
      <c r="G941" t="s">
        <v>36</v>
      </c>
      <c r="H941" t="s">
        <v>37</v>
      </c>
      <c r="I941">
        <v>0</v>
      </c>
      <c r="J941" t="s">
        <v>38</v>
      </c>
      <c r="K941">
        <v>31053773.460000001</v>
      </c>
      <c r="L941" t="s">
        <v>695</v>
      </c>
      <c r="M941" t="str">
        <f t="shared" si="51"/>
        <v>controlresearch</v>
      </c>
      <c r="N941" t="s">
        <v>28</v>
      </c>
      <c r="O941" t="s">
        <v>810</v>
      </c>
      <c r="P941" t="s">
        <v>857</v>
      </c>
      <c r="Q941" t="s">
        <v>16</v>
      </c>
    </row>
    <row r="942" spans="1:17" x14ac:dyDescent="0.2">
      <c r="A942" t="s">
        <v>861</v>
      </c>
      <c r="B942" s="1">
        <v>0</v>
      </c>
      <c r="C942" t="s">
        <v>16</v>
      </c>
      <c r="D942">
        <v>0</v>
      </c>
      <c r="E942">
        <v>0</v>
      </c>
      <c r="F942" t="s">
        <v>17</v>
      </c>
      <c r="G942" t="s">
        <v>36</v>
      </c>
      <c r="H942" t="s">
        <v>38</v>
      </c>
      <c r="I942">
        <v>134797582.59999999</v>
      </c>
      <c r="J942" t="s">
        <v>38</v>
      </c>
      <c r="K942">
        <v>10081476.880000001</v>
      </c>
      <c r="L942" t="s">
        <v>695</v>
      </c>
      <c r="M942" t="str">
        <f t="shared" si="51"/>
        <v>controlresearch</v>
      </c>
      <c r="N942" t="s">
        <v>28</v>
      </c>
      <c r="O942" t="s">
        <v>810</v>
      </c>
      <c r="P942" t="s">
        <v>857</v>
      </c>
      <c r="Q942" t="s">
        <v>16</v>
      </c>
    </row>
    <row r="943" spans="1:17" x14ac:dyDescent="0.2">
      <c r="A943" t="s">
        <v>862</v>
      </c>
      <c r="B943">
        <v>0.17104683300000001</v>
      </c>
      <c r="C943" t="s">
        <v>16</v>
      </c>
      <c r="D943">
        <v>0</v>
      </c>
      <c r="E943">
        <v>0</v>
      </c>
      <c r="F943" t="s">
        <v>19</v>
      </c>
      <c r="G943" t="s">
        <v>41</v>
      </c>
      <c r="H943" t="s">
        <v>16</v>
      </c>
      <c r="I943" t="s">
        <v>16</v>
      </c>
      <c r="J943" t="s">
        <v>16</v>
      </c>
      <c r="K943" t="s">
        <v>16</v>
      </c>
      <c r="L943" t="s">
        <v>695</v>
      </c>
      <c r="M943" t="str">
        <f t="shared" si="51"/>
        <v>challengedresearch</v>
      </c>
      <c r="N943" t="s">
        <v>28</v>
      </c>
      <c r="O943" t="s">
        <v>810</v>
      </c>
      <c r="P943" t="s">
        <v>857</v>
      </c>
      <c r="Q943">
        <v>0</v>
      </c>
    </row>
    <row r="944" spans="1:17" x14ac:dyDescent="0.2">
      <c r="A944" t="s">
        <v>1145</v>
      </c>
      <c r="B944">
        <v>7.2164102999999993E-2</v>
      </c>
      <c r="C944" t="s">
        <v>16</v>
      </c>
      <c r="D944">
        <v>0</v>
      </c>
      <c r="E944">
        <v>0</v>
      </c>
      <c r="F944" t="s">
        <v>33</v>
      </c>
      <c r="G944" t="s">
        <v>41</v>
      </c>
      <c r="H944" t="s">
        <v>16</v>
      </c>
      <c r="I944" t="s">
        <v>16</v>
      </c>
      <c r="J944" t="s">
        <v>16</v>
      </c>
      <c r="K944" t="s">
        <v>16</v>
      </c>
      <c r="L944" t="s">
        <v>695</v>
      </c>
      <c r="M944" t="str">
        <f t="shared" si="51"/>
        <v>challengedresearch</v>
      </c>
      <c r="N944" t="s">
        <v>28</v>
      </c>
      <c r="O944" t="s">
        <v>810</v>
      </c>
      <c r="P944" t="s">
        <v>857</v>
      </c>
      <c r="Q944">
        <v>-8792905382</v>
      </c>
    </row>
    <row r="945" spans="1:17" x14ac:dyDescent="0.2">
      <c r="A945" t="s">
        <v>863</v>
      </c>
      <c r="B945">
        <v>9.1331932000000005E-2</v>
      </c>
      <c r="C945">
        <v>11233131.880000001</v>
      </c>
      <c r="D945">
        <v>673987.91299999994</v>
      </c>
      <c r="E945">
        <v>134797582.59999999</v>
      </c>
      <c r="F945" t="s">
        <v>17</v>
      </c>
      <c r="G945" t="s">
        <v>41</v>
      </c>
      <c r="H945" t="s">
        <v>16</v>
      </c>
      <c r="I945" t="s">
        <v>16</v>
      </c>
      <c r="J945" t="s">
        <v>16</v>
      </c>
      <c r="K945" t="s">
        <v>16</v>
      </c>
      <c r="L945" t="s">
        <v>695</v>
      </c>
      <c r="M945" t="str">
        <f t="shared" si="51"/>
        <v>challengedresearch</v>
      </c>
      <c r="N945" t="s">
        <v>28</v>
      </c>
      <c r="O945" t="s">
        <v>810</v>
      </c>
      <c r="P945" t="s">
        <v>857</v>
      </c>
      <c r="Q945">
        <v>673987.91299999994</v>
      </c>
    </row>
    <row r="946" spans="1:17" x14ac:dyDescent="0.2">
      <c r="A946" t="s">
        <v>864</v>
      </c>
      <c r="B946" t="s">
        <v>16</v>
      </c>
      <c r="C946" s="1" t="s">
        <v>16</v>
      </c>
      <c r="D946" s="1" t="s">
        <v>16</v>
      </c>
      <c r="E946" t="s">
        <v>16</v>
      </c>
      <c r="F946" t="s">
        <v>26</v>
      </c>
      <c r="G946" t="s">
        <v>26</v>
      </c>
      <c r="H946" t="s">
        <v>16</v>
      </c>
      <c r="I946" t="s">
        <v>16</v>
      </c>
      <c r="J946" t="s">
        <v>16</v>
      </c>
      <c r="K946" t="s">
        <v>16</v>
      </c>
      <c r="L946" t="s">
        <v>695</v>
      </c>
      <c r="M946" t="str">
        <f t="shared" si="51"/>
        <v>fecalresearch</v>
      </c>
      <c r="N946" t="s">
        <v>28</v>
      </c>
      <c r="O946" t="s">
        <v>810</v>
      </c>
      <c r="P946" t="s">
        <v>865</v>
      </c>
      <c r="Q946" t="s">
        <v>16</v>
      </c>
    </row>
    <row r="947" spans="1:17" x14ac:dyDescent="0.2">
      <c r="A947" t="s">
        <v>866</v>
      </c>
      <c r="B947">
        <v>0.239389252</v>
      </c>
      <c r="C947">
        <v>225.24264985281698</v>
      </c>
      <c r="D947">
        <v>20.85580091229787</v>
      </c>
      <c r="E947">
        <f>D947*200</f>
        <v>4171.1601824595737</v>
      </c>
      <c r="F947" t="s">
        <v>19</v>
      </c>
      <c r="G947" t="s">
        <v>32</v>
      </c>
      <c r="H947" t="s">
        <v>16</v>
      </c>
      <c r="I947" t="s">
        <v>16</v>
      </c>
      <c r="J947" t="s">
        <v>16</v>
      </c>
      <c r="K947" t="s">
        <v>16</v>
      </c>
      <c r="L947" t="s">
        <v>695</v>
      </c>
      <c r="M947" t="str">
        <f t="shared" si="51"/>
        <v>abx_challengedresearch</v>
      </c>
      <c r="N947" t="s">
        <v>28</v>
      </c>
      <c r="O947" t="s">
        <v>810</v>
      </c>
      <c r="P947" t="s">
        <v>865</v>
      </c>
      <c r="Q947">
        <f>E947</f>
        <v>4171.1601824595737</v>
      </c>
    </row>
    <row r="948" spans="1:17" x14ac:dyDescent="0.2">
      <c r="A948" t="s">
        <v>867</v>
      </c>
      <c r="B948">
        <v>0</v>
      </c>
      <c r="C948" t="s">
        <v>16</v>
      </c>
      <c r="D948">
        <v>0</v>
      </c>
      <c r="E948">
        <f t="shared" ref="E948:E949" si="53">D948*200</f>
        <v>0</v>
      </c>
      <c r="F948" t="s">
        <v>19</v>
      </c>
      <c r="G948" t="s">
        <v>36</v>
      </c>
      <c r="H948" t="s">
        <v>37</v>
      </c>
      <c r="I948">
        <f>E949</f>
        <v>11216.454612259931</v>
      </c>
      <c r="J948" t="s">
        <v>37</v>
      </c>
      <c r="K948">
        <f>E947</f>
        <v>4171.1601824595737</v>
      </c>
      <c r="L948" t="s">
        <v>695</v>
      </c>
      <c r="M948" t="str">
        <f t="shared" si="51"/>
        <v>controlresearch</v>
      </c>
      <c r="N948" t="s">
        <v>28</v>
      </c>
      <c r="O948" t="s">
        <v>810</v>
      </c>
      <c r="P948" t="s">
        <v>865</v>
      </c>
      <c r="Q948" t="s">
        <v>16</v>
      </c>
    </row>
    <row r="949" spans="1:17" x14ac:dyDescent="0.2">
      <c r="A949" t="s">
        <v>868</v>
      </c>
      <c r="B949">
        <v>0.242232849</v>
      </c>
      <c r="C949">
        <v>605.68854906203626</v>
      </c>
      <c r="D949">
        <v>56.082273061299652</v>
      </c>
      <c r="E949">
        <f t="shared" si="53"/>
        <v>11216.454612259931</v>
      </c>
      <c r="F949" t="s">
        <v>19</v>
      </c>
      <c r="G949" t="s">
        <v>41</v>
      </c>
      <c r="H949" t="s">
        <v>16</v>
      </c>
      <c r="I949" t="s">
        <v>16</v>
      </c>
      <c r="J949" t="s">
        <v>16</v>
      </c>
      <c r="K949" t="s">
        <v>16</v>
      </c>
      <c r="L949" t="s">
        <v>695</v>
      </c>
      <c r="M949" t="str">
        <f t="shared" si="51"/>
        <v>challengedresearch</v>
      </c>
      <c r="N949" t="s">
        <v>28</v>
      </c>
      <c r="O949" t="s">
        <v>810</v>
      </c>
      <c r="P949" t="s">
        <v>865</v>
      </c>
      <c r="Q949">
        <f>E949</f>
        <v>11216.454612259931</v>
      </c>
    </row>
    <row r="950" spans="1:17" x14ac:dyDescent="0.2">
      <c r="A950" t="s">
        <v>869</v>
      </c>
      <c r="B950" t="s">
        <v>16</v>
      </c>
      <c r="C950" t="s">
        <v>16</v>
      </c>
      <c r="D950" t="s">
        <v>16</v>
      </c>
      <c r="E950" t="s">
        <v>16</v>
      </c>
      <c r="F950" t="s">
        <v>26</v>
      </c>
      <c r="G950" t="s">
        <v>26</v>
      </c>
      <c r="H950" t="s">
        <v>16</v>
      </c>
      <c r="I950" t="s">
        <v>16</v>
      </c>
      <c r="J950" t="s">
        <v>16</v>
      </c>
      <c r="K950" t="s">
        <v>16</v>
      </c>
      <c r="L950" t="s">
        <v>695</v>
      </c>
      <c r="M950" t="str">
        <f t="shared" si="51"/>
        <v>fecalresearch</v>
      </c>
      <c r="N950" t="s">
        <v>28</v>
      </c>
      <c r="O950" t="s">
        <v>810</v>
      </c>
      <c r="P950" t="s">
        <v>870</v>
      </c>
      <c r="Q950" t="s">
        <v>16</v>
      </c>
    </row>
    <row r="951" spans="1:17" x14ac:dyDescent="0.2">
      <c r="A951" t="s">
        <v>871</v>
      </c>
      <c r="B951">
        <v>0.185067641</v>
      </c>
      <c r="C951">
        <v>459.99063510000002</v>
      </c>
      <c r="D951">
        <v>63.887588209999997</v>
      </c>
      <c r="E951">
        <v>12777.51764</v>
      </c>
      <c r="F951" t="s">
        <v>19</v>
      </c>
      <c r="G951" t="s">
        <v>32</v>
      </c>
      <c r="H951" t="s">
        <v>16</v>
      </c>
      <c r="I951" t="s">
        <v>16</v>
      </c>
      <c r="J951" t="s">
        <v>16</v>
      </c>
      <c r="K951" t="s">
        <v>16</v>
      </c>
      <c r="L951" t="s">
        <v>695</v>
      </c>
      <c r="M951" t="str">
        <f t="shared" si="51"/>
        <v>abx_challengedresearch</v>
      </c>
      <c r="N951" t="s">
        <v>28</v>
      </c>
      <c r="O951" t="s">
        <v>810</v>
      </c>
      <c r="P951" t="s">
        <v>870</v>
      </c>
      <c r="Q951">
        <v>63.887588209999997</v>
      </c>
    </row>
    <row r="952" spans="1:17" x14ac:dyDescent="0.2">
      <c r="A952" t="s">
        <v>1146</v>
      </c>
      <c r="B952">
        <v>0.14429293400000001</v>
      </c>
      <c r="C952">
        <v>33286356.649999999</v>
      </c>
      <c r="D952">
        <v>199718.13990000001</v>
      </c>
      <c r="E952">
        <v>39943627.990000002</v>
      </c>
      <c r="F952" t="s">
        <v>33</v>
      </c>
      <c r="G952" t="s">
        <v>32</v>
      </c>
      <c r="H952" t="s">
        <v>16</v>
      </c>
      <c r="I952" t="s">
        <v>16</v>
      </c>
      <c r="J952" t="s">
        <v>16</v>
      </c>
      <c r="K952" t="s">
        <v>16</v>
      </c>
      <c r="L952" t="s">
        <v>695</v>
      </c>
      <c r="M952" t="str">
        <f t="shared" si="51"/>
        <v>abx_challengedresearch</v>
      </c>
      <c r="N952" t="s">
        <v>28</v>
      </c>
      <c r="O952" t="s">
        <v>810</v>
      </c>
      <c r="P952" t="s">
        <v>870</v>
      </c>
      <c r="Q952">
        <v>145987.2991</v>
      </c>
    </row>
    <row r="953" spans="1:17" x14ac:dyDescent="0.2">
      <c r="A953" t="s">
        <v>872</v>
      </c>
      <c r="B953">
        <v>0.24418911900000001</v>
      </c>
      <c r="C953">
        <v>8955140.1319999993</v>
      </c>
      <c r="D953">
        <v>53730.840790000002</v>
      </c>
      <c r="E953">
        <v>10746168.16</v>
      </c>
      <c r="F953" t="s">
        <v>17</v>
      </c>
      <c r="G953" t="s">
        <v>32</v>
      </c>
      <c r="H953" t="s">
        <v>16</v>
      </c>
      <c r="I953" t="s">
        <v>16</v>
      </c>
      <c r="J953" t="s">
        <v>16</v>
      </c>
      <c r="K953" t="s">
        <v>16</v>
      </c>
      <c r="L953" t="s">
        <v>695</v>
      </c>
      <c r="M953" t="str">
        <f t="shared" si="51"/>
        <v>abx_challengedresearch</v>
      </c>
      <c r="N953" t="s">
        <v>28</v>
      </c>
      <c r="O953" t="s">
        <v>810</v>
      </c>
      <c r="P953" t="s">
        <v>870</v>
      </c>
      <c r="Q953">
        <v>53730.840790000002</v>
      </c>
    </row>
    <row r="954" spans="1:17" x14ac:dyDescent="0.2">
      <c r="A954" t="s">
        <v>873</v>
      </c>
      <c r="B954" s="1">
        <v>0</v>
      </c>
      <c r="C954" t="s">
        <v>16</v>
      </c>
      <c r="D954">
        <v>0</v>
      </c>
      <c r="E954">
        <v>0</v>
      </c>
      <c r="F954" t="s">
        <v>19</v>
      </c>
      <c r="G954" t="s">
        <v>36</v>
      </c>
      <c r="H954" t="s">
        <v>37</v>
      </c>
      <c r="I954">
        <v>0</v>
      </c>
      <c r="J954" t="s">
        <v>37</v>
      </c>
      <c r="K954">
        <v>12777.51764</v>
      </c>
      <c r="L954" t="s">
        <v>695</v>
      </c>
      <c r="M954" t="str">
        <f t="shared" si="51"/>
        <v>controlresearch</v>
      </c>
      <c r="N954" t="s">
        <v>28</v>
      </c>
      <c r="O954" t="s">
        <v>810</v>
      </c>
      <c r="P954" t="s">
        <v>870</v>
      </c>
      <c r="Q954" t="s">
        <v>16</v>
      </c>
    </row>
    <row r="955" spans="1:17" x14ac:dyDescent="0.2">
      <c r="A955" t="s">
        <v>1147</v>
      </c>
      <c r="B955" s="1">
        <v>0</v>
      </c>
      <c r="C955">
        <v>56516993.030000001</v>
      </c>
      <c r="D955">
        <v>3391019.5819999999</v>
      </c>
      <c r="E955">
        <v>678203916.39999998</v>
      </c>
      <c r="F955" t="s">
        <v>33</v>
      </c>
      <c r="G955" t="s">
        <v>36</v>
      </c>
      <c r="H955" t="s">
        <v>38</v>
      </c>
      <c r="I955">
        <v>2011309.8489999999</v>
      </c>
      <c r="J955" t="s">
        <v>38</v>
      </c>
      <c r="K955">
        <v>39943627.990000002</v>
      </c>
      <c r="L955" t="s">
        <v>695</v>
      </c>
      <c r="M955" t="str">
        <f t="shared" si="51"/>
        <v>controlresearch</v>
      </c>
      <c r="N955" t="s">
        <v>28</v>
      </c>
      <c r="O955" t="s">
        <v>810</v>
      </c>
      <c r="P955" t="s">
        <v>870</v>
      </c>
      <c r="Q955" t="s">
        <v>16</v>
      </c>
    </row>
    <row r="956" spans="1:17" x14ac:dyDescent="0.2">
      <c r="A956" t="s">
        <v>874</v>
      </c>
      <c r="B956" s="1">
        <v>0</v>
      </c>
      <c r="C956">
        <v>2923.0735089999998</v>
      </c>
      <c r="D956">
        <v>0</v>
      </c>
      <c r="E956">
        <v>0</v>
      </c>
      <c r="F956" t="s">
        <v>17</v>
      </c>
      <c r="G956" t="s">
        <v>36</v>
      </c>
      <c r="H956" t="s">
        <v>38</v>
      </c>
      <c r="I956">
        <v>93197674.340000004</v>
      </c>
      <c r="J956" t="s">
        <v>38</v>
      </c>
      <c r="K956">
        <v>10746168.16</v>
      </c>
      <c r="L956" t="s">
        <v>695</v>
      </c>
      <c r="M956" t="str">
        <f t="shared" si="51"/>
        <v>controlresearch</v>
      </c>
      <c r="N956" t="s">
        <v>28</v>
      </c>
      <c r="O956" t="s">
        <v>810</v>
      </c>
      <c r="P956" t="s">
        <v>870</v>
      </c>
      <c r="Q956" t="s">
        <v>16</v>
      </c>
    </row>
    <row r="957" spans="1:17" x14ac:dyDescent="0.2">
      <c r="A957" t="s">
        <v>875</v>
      </c>
      <c r="B957">
        <v>0.13637123700000001</v>
      </c>
      <c r="C957">
        <v>8.1387443830000006</v>
      </c>
      <c r="D957">
        <v>0</v>
      </c>
      <c r="E957">
        <v>0</v>
      </c>
      <c r="F957" t="s">
        <v>19</v>
      </c>
      <c r="G957" t="s">
        <v>41</v>
      </c>
      <c r="H957" t="s">
        <v>16</v>
      </c>
      <c r="I957" t="s">
        <v>16</v>
      </c>
      <c r="J957" t="s">
        <v>16</v>
      </c>
      <c r="K957" t="s">
        <v>16</v>
      </c>
      <c r="L957" t="s">
        <v>695</v>
      </c>
      <c r="M957" t="str">
        <f t="shared" si="51"/>
        <v>challengedresearch</v>
      </c>
      <c r="N957" t="s">
        <v>28</v>
      </c>
      <c r="O957" t="s">
        <v>810</v>
      </c>
      <c r="P957" t="s">
        <v>870</v>
      </c>
      <c r="Q957">
        <v>0</v>
      </c>
    </row>
    <row r="958" spans="1:17" x14ac:dyDescent="0.2">
      <c r="A958" t="s">
        <v>1148</v>
      </c>
      <c r="B958">
        <v>1.5381571E-2</v>
      </c>
      <c r="C958">
        <v>167609.15410000001</v>
      </c>
      <c r="D958">
        <v>10056.54925</v>
      </c>
      <c r="E958">
        <v>2011309.8489999999</v>
      </c>
      <c r="F958" t="s">
        <v>33</v>
      </c>
      <c r="G958" t="s">
        <v>41</v>
      </c>
      <c r="H958" t="s">
        <v>16</v>
      </c>
      <c r="I958" t="s">
        <v>16</v>
      </c>
      <c r="J958" t="s">
        <v>16</v>
      </c>
      <c r="K958" t="s">
        <v>16</v>
      </c>
      <c r="L958" t="s">
        <v>695</v>
      </c>
      <c r="M958" t="str">
        <f t="shared" si="51"/>
        <v>challengedresearch</v>
      </c>
      <c r="N958" t="s">
        <v>28</v>
      </c>
      <c r="O958" t="s">
        <v>810</v>
      </c>
      <c r="P958" t="s">
        <v>870</v>
      </c>
      <c r="Q958">
        <v>-676192606.5</v>
      </c>
    </row>
    <row r="959" spans="1:17" x14ac:dyDescent="0.2">
      <c r="A959" t="s">
        <v>876</v>
      </c>
      <c r="B959">
        <v>0.16647378199999999</v>
      </c>
      <c r="C959">
        <v>7766472.8609999996</v>
      </c>
      <c r="D959">
        <v>465988.37170000002</v>
      </c>
      <c r="E959">
        <v>93197674.340000004</v>
      </c>
      <c r="F959" t="s">
        <v>17</v>
      </c>
      <c r="G959" t="s">
        <v>41</v>
      </c>
      <c r="H959" t="s">
        <v>16</v>
      </c>
      <c r="I959" t="s">
        <v>16</v>
      </c>
      <c r="J959" t="s">
        <v>16</v>
      </c>
      <c r="K959" t="s">
        <v>16</v>
      </c>
      <c r="L959" t="s">
        <v>695</v>
      </c>
      <c r="M959" t="str">
        <f t="shared" si="51"/>
        <v>challengedresearch</v>
      </c>
      <c r="N959" t="s">
        <v>28</v>
      </c>
      <c r="O959" t="s">
        <v>810</v>
      </c>
      <c r="P959" t="s">
        <v>870</v>
      </c>
      <c r="Q959">
        <v>465988.37170000002</v>
      </c>
    </row>
    <row r="960" spans="1:17" x14ac:dyDescent="0.2">
      <c r="A960" t="s">
        <v>877</v>
      </c>
      <c r="B960" t="s">
        <v>16</v>
      </c>
      <c r="C960" t="s">
        <v>16</v>
      </c>
      <c r="D960" t="s">
        <v>16</v>
      </c>
      <c r="E960" t="s">
        <v>16</v>
      </c>
      <c r="F960" t="s">
        <v>26</v>
      </c>
      <c r="G960" t="s">
        <v>26</v>
      </c>
      <c r="H960" t="s">
        <v>16</v>
      </c>
      <c r="I960" t="s">
        <v>16</v>
      </c>
      <c r="J960" t="s">
        <v>16</v>
      </c>
      <c r="K960" t="s">
        <v>16</v>
      </c>
      <c r="L960" t="s">
        <v>695</v>
      </c>
      <c r="M960" t="str">
        <f t="shared" si="51"/>
        <v>fecalresearch</v>
      </c>
      <c r="N960" t="s">
        <v>28</v>
      </c>
      <c r="O960" t="s">
        <v>810</v>
      </c>
      <c r="P960" t="s">
        <v>878</v>
      </c>
      <c r="Q960" t="s">
        <v>16</v>
      </c>
    </row>
    <row r="961" spans="1:17" x14ac:dyDescent="0.2">
      <c r="A961" t="s">
        <v>879</v>
      </c>
      <c r="B961">
        <v>0.132554318</v>
      </c>
      <c r="C961">
        <v>397.68614689999998</v>
      </c>
      <c r="D961">
        <v>36.822791379999998</v>
      </c>
      <c r="E961">
        <v>7364.5582759999998</v>
      </c>
      <c r="F961" t="s">
        <v>19</v>
      </c>
      <c r="G961" t="s">
        <v>32</v>
      </c>
      <c r="H961" t="s">
        <v>16</v>
      </c>
      <c r="I961" t="s">
        <v>16</v>
      </c>
      <c r="J961" t="s">
        <v>16</v>
      </c>
      <c r="K961" t="s">
        <v>16</v>
      </c>
      <c r="L961" t="s">
        <v>695</v>
      </c>
      <c r="M961" t="str">
        <f t="shared" si="51"/>
        <v>abx_challengedresearch</v>
      </c>
      <c r="N961" t="s">
        <v>28</v>
      </c>
      <c r="O961" t="s">
        <v>810</v>
      </c>
      <c r="P961" t="s">
        <v>878</v>
      </c>
      <c r="Q961">
        <v>36.822791379999998</v>
      </c>
    </row>
    <row r="962" spans="1:17" x14ac:dyDescent="0.2">
      <c r="A962" t="s">
        <v>1149</v>
      </c>
      <c r="B962">
        <v>7.1680676999999998E-2</v>
      </c>
      <c r="C962">
        <v>57412065.979999997</v>
      </c>
      <c r="D962">
        <v>344472.3959</v>
      </c>
      <c r="E962">
        <v>68894479.180000007</v>
      </c>
      <c r="F962" t="s">
        <v>33</v>
      </c>
      <c r="G962" t="s">
        <v>32</v>
      </c>
      <c r="H962" t="s">
        <v>16</v>
      </c>
      <c r="I962" t="s">
        <v>16</v>
      </c>
      <c r="J962" t="s">
        <v>16</v>
      </c>
      <c r="K962" t="s">
        <v>16</v>
      </c>
      <c r="L962" t="s">
        <v>695</v>
      </c>
      <c r="M962" t="str">
        <f t="shared" si="51"/>
        <v>abx_challengedresearch</v>
      </c>
      <c r="N962" t="s">
        <v>28</v>
      </c>
      <c r="O962" t="s">
        <v>810</v>
      </c>
      <c r="P962" t="s">
        <v>878</v>
      </c>
      <c r="Q962">
        <v>301988.51510000002</v>
      </c>
    </row>
    <row r="963" spans="1:17" x14ac:dyDescent="0.2">
      <c r="A963" t="s">
        <v>880</v>
      </c>
      <c r="B963">
        <v>0.22662022600000001</v>
      </c>
      <c r="C963">
        <v>7080646.7929999996</v>
      </c>
      <c r="D963">
        <v>42483.88076</v>
      </c>
      <c r="E963">
        <v>8496776.1520000007</v>
      </c>
      <c r="F963" t="s">
        <v>17</v>
      </c>
      <c r="G963" t="s">
        <v>32</v>
      </c>
      <c r="H963" t="s">
        <v>16</v>
      </c>
      <c r="I963" t="s">
        <v>16</v>
      </c>
      <c r="J963" t="s">
        <v>16</v>
      </c>
      <c r="K963" t="s">
        <v>16</v>
      </c>
      <c r="L963" t="s">
        <v>695</v>
      </c>
      <c r="M963" t="str">
        <f t="shared" si="51"/>
        <v>abx_challengedresearch</v>
      </c>
      <c r="N963" t="s">
        <v>28</v>
      </c>
      <c r="O963" t="s">
        <v>810</v>
      </c>
      <c r="P963" t="s">
        <v>878</v>
      </c>
      <c r="Q963">
        <v>42483.88076</v>
      </c>
    </row>
    <row r="964" spans="1:17" x14ac:dyDescent="0.2">
      <c r="A964" t="s">
        <v>881</v>
      </c>
      <c r="B964" s="1">
        <v>0</v>
      </c>
      <c r="C964" t="s">
        <v>16</v>
      </c>
      <c r="D964">
        <v>0</v>
      </c>
      <c r="E964">
        <v>0</v>
      </c>
      <c r="F964" t="s">
        <v>19</v>
      </c>
      <c r="G964" t="s">
        <v>36</v>
      </c>
      <c r="H964" t="s">
        <v>37</v>
      </c>
      <c r="I964">
        <v>2799.8053500000001</v>
      </c>
      <c r="J964" t="s">
        <v>37</v>
      </c>
      <c r="K964">
        <v>7364.5582759999998</v>
      </c>
      <c r="L964" t="s">
        <v>695</v>
      </c>
      <c r="M964" t="str">
        <f t="shared" si="51"/>
        <v>controlresearch</v>
      </c>
      <c r="N964" t="s">
        <v>28</v>
      </c>
      <c r="O964" t="s">
        <v>810</v>
      </c>
      <c r="P964" t="s">
        <v>878</v>
      </c>
      <c r="Q964" t="s">
        <v>16</v>
      </c>
    </row>
    <row r="965" spans="1:17" x14ac:dyDescent="0.2">
      <c r="A965" t="s">
        <v>1150</v>
      </c>
      <c r="B965" s="1">
        <v>0</v>
      </c>
      <c r="C965">
        <v>288946179.89999998</v>
      </c>
      <c r="D965">
        <v>17336770.789999999</v>
      </c>
      <c r="E965">
        <v>3467354158</v>
      </c>
      <c r="F965" t="s">
        <v>33</v>
      </c>
      <c r="G965" t="s">
        <v>36</v>
      </c>
      <c r="H965" t="s">
        <v>38</v>
      </c>
      <c r="I965">
        <v>12246313.27</v>
      </c>
      <c r="J965" t="s">
        <v>38</v>
      </c>
      <c r="K965">
        <v>68894479.180000007</v>
      </c>
      <c r="L965" t="s">
        <v>695</v>
      </c>
      <c r="M965" t="str">
        <f t="shared" si="51"/>
        <v>controlresearch</v>
      </c>
      <c r="N965" t="s">
        <v>28</v>
      </c>
      <c r="O965" t="s">
        <v>810</v>
      </c>
      <c r="P965" t="s">
        <v>878</v>
      </c>
      <c r="Q965" t="s">
        <v>16</v>
      </c>
    </row>
    <row r="966" spans="1:17" x14ac:dyDescent="0.2">
      <c r="A966" t="s">
        <v>882</v>
      </c>
      <c r="B966" s="1">
        <v>0</v>
      </c>
      <c r="C966" t="s">
        <v>16</v>
      </c>
      <c r="D966">
        <v>0</v>
      </c>
      <c r="E966">
        <v>0</v>
      </c>
      <c r="F966" t="s">
        <v>17</v>
      </c>
      <c r="G966" t="s">
        <v>36</v>
      </c>
      <c r="H966" t="s">
        <v>38</v>
      </c>
      <c r="I966">
        <v>104919704.90000001</v>
      </c>
      <c r="J966" t="s">
        <v>38</v>
      </c>
      <c r="K966">
        <v>8496776.1520000007</v>
      </c>
      <c r="L966" t="s">
        <v>695</v>
      </c>
      <c r="M966" t="str">
        <f t="shared" si="51"/>
        <v>controlresearch</v>
      </c>
      <c r="N966" t="s">
        <v>28</v>
      </c>
      <c r="O966" t="s">
        <v>810</v>
      </c>
      <c r="P966" t="s">
        <v>878</v>
      </c>
      <c r="Q966" t="s">
        <v>16</v>
      </c>
    </row>
    <row r="967" spans="1:17" x14ac:dyDescent="0.2">
      <c r="A967" t="s">
        <v>883</v>
      </c>
      <c r="B967">
        <v>0.126692209</v>
      </c>
      <c r="C967">
        <v>151.18948889999999</v>
      </c>
      <c r="D967">
        <v>13.999026750000001</v>
      </c>
      <c r="E967">
        <v>2799.8053500000001</v>
      </c>
      <c r="F967" t="s">
        <v>19</v>
      </c>
      <c r="G967" t="s">
        <v>41</v>
      </c>
      <c r="H967" t="s">
        <v>16</v>
      </c>
      <c r="I967" t="s">
        <v>16</v>
      </c>
      <c r="J967" t="s">
        <v>16</v>
      </c>
      <c r="K967" t="s">
        <v>16</v>
      </c>
      <c r="L967" t="s">
        <v>695</v>
      </c>
      <c r="M967" t="str">
        <f t="shared" si="51"/>
        <v>challengedresearch</v>
      </c>
      <c r="N967" t="s">
        <v>28</v>
      </c>
      <c r="O967" t="s">
        <v>810</v>
      </c>
      <c r="P967" t="s">
        <v>878</v>
      </c>
      <c r="Q967">
        <v>13.999026750000001</v>
      </c>
    </row>
    <row r="968" spans="1:17" x14ac:dyDescent="0.2">
      <c r="A968" t="s">
        <v>1151</v>
      </c>
      <c r="B968">
        <v>0.16756961200000001</v>
      </c>
      <c r="C968">
        <v>1020526.106</v>
      </c>
      <c r="D968">
        <v>61231.566339999998</v>
      </c>
      <c r="E968">
        <v>12246313.27</v>
      </c>
      <c r="F968" t="s">
        <v>33</v>
      </c>
      <c r="G968" t="s">
        <v>41</v>
      </c>
      <c r="H968" t="s">
        <v>16</v>
      </c>
      <c r="I968" t="s">
        <v>16</v>
      </c>
      <c r="J968" t="s">
        <v>16</v>
      </c>
      <c r="K968" t="s">
        <v>16</v>
      </c>
      <c r="L968" t="s">
        <v>695</v>
      </c>
      <c r="M968" t="str">
        <f t="shared" si="51"/>
        <v>challengedresearch</v>
      </c>
      <c r="N968" t="s">
        <v>28</v>
      </c>
      <c r="O968" t="s">
        <v>810</v>
      </c>
      <c r="P968" t="s">
        <v>878</v>
      </c>
      <c r="Q968">
        <v>-71314.674419999996</v>
      </c>
    </row>
    <row r="969" spans="1:17" x14ac:dyDescent="0.2">
      <c r="A969" t="s">
        <v>884</v>
      </c>
      <c r="B969">
        <v>0.15591537699999999</v>
      </c>
      <c r="C969">
        <v>8743308.7390000001</v>
      </c>
      <c r="D969">
        <v>524598.52430000005</v>
      </c>
      <c r="E969">
        <v>104919704.90000001</v>
      </c>
      <c r="F969" t="s">
        <v>17</v>
      </c>
      <c r="G969" t="s">
        <v>41</v>
      </c>
      <c r="H969" t="s">
        <v>16</v>
      </c>
      <c r="I969" t="s">
        <v>16</v>
      </c>
      <c r="J969" t="s">
        <v>16</v>
      </c>
      <c r="K969" t="s">
        <v>16</v>
      </c>
      <c r="L969" t="s">
        <v>695</v>
      </c>
      <c r="M969" t="str">
        <f t="shared" si="51"/>
        <v>challengedresearch</v>
      </c>
      <c r="N969" t="s">
        <v>28</v>
      </c>
      <c r="O969" t="s">
        <v>810</v>
      </c>
      <c r="P969" t="s">
        <v>878</v>
      </c>
      <c r="Q969">
        <v>524598.52430000005</v>
      </c>
    </row>
    <row r="970" spans="1:17" x14ac:dyDescent="0.2">
      <c r="A970" t="s">
        <v>1152</v>
      </c>
      <c r="B970">
        <v>0.12622457500000001</v>
      </c>
      <c r="C970">
        <v>22091040.129999999</v>
      </c>
      <c r="D970">
        <v>132546.2408</v>
      </c>
      <c r="E970">
        <v>26509248.149999999</v>
      </c>
      <c r="F970" t="s">
        <v>33</v>
      </c>
      <c r="G970" t="s">
        <v>32</v>
      </c>
      <c r="H970" t="s">
        <v>16</v>
      </c>
      <c r="I970" t="s">
        <v>16</v>
      </c>
      <c r="J970" t="s">
        <v>16</v>
      </c>
      <c r="K970" t="s">
        <v>16</v>
      </c>
      <c r="L970" t="s">
        <v>695</v>
      </c>
      <c r="M970" t="str">
        <f t="shared" si="51"/>
        <v>abx_challengedresearch</v>
      </c>
      <c r="N970" t="s">
        <v>28</v>
      </c>
      <c r="O970" t="s">
        <v>810</v>
      </c>
      <c r="P970" t="s">
        <v>885</v>
      </c>
      <c r="Q970">
        <v>-49622736.460000001</v>
      </c>
    </row>
    <row r="971" spans="1:17" x14ac:dyDescent="0.2">
      <c r="A971" t="s">
        <v>886</v>
      </c>
      <c r="B971">
        <v>0.224213887</v>
      </c>
      <c r="C971">
        <v>5985552.5039999997</v>
      </c>
      <c r="D971">
        <v>35913.315029999998</v>
      </c>
      <c r="E971">
        <v>7182663.0049999999</v>
      </c>
      <c r="F971" t="s">
        <v>17</v>
      </c>
      <c r="G971" t="s">
        <v>32</v>
      </c>
      <c r="H971" t="s">
        <v>16</v>
      </c>
      <c r="I971" t="s">
        <v>16</v>
      </c>
      <c r="J971" t="s">
        <v>16</v>
      </c>
      <c r="K971" t="s">
        <v>16</v>
      </c>
      <c r="L971" t="s">
        <v>695</v>
      </c>
      <c r="M971" t="str">
        <f t="shared" si="51"/>
        <v>abx_challengedresearch</v>
      </c>
      <c r="N971" t="s">
        <v>28</v>
      </c>
      <c r="O971" t="s">
        <v>810</v>
      </c>
      <c r="P971" t="s">
        <v>885</v>
      </c>
      <c r="Q971">
        <v>35913.315029999998</v>
      </c>
    </row>
    <row r="972" spans="1:17" x14ac:dyDescent="0.2">
      <c r="A972" t="s">
        <v>887</v>
      </c>
      <c r="B972">
        <v>0.112128003</v>
      </c>
      <c r="C972">
        <v>15.989531821896065</v>
      </c>
      <c r="D972">
        <v>2.2207683085966758</v>
      </c>
      <c r="E972">
        <f>D972*200</f>
        <v>444.15366171933516</v>
      </c>
      <c r="F972" t="s">
        <v>19</v>
      </c>
      <c r="G972" t="s">
        <v>32</v>
      </c>
      <c r="H972" t="s">
        <v>16</v>
      </c>
      <c r="I972" t="s">
        <v>16</v>
      </c>
      <c r="J972" t="s">
        <v>16</v>
      </c>
      <c r="K972" t="s">
        <v>16</v>
      </c>
      <c r="L972" t="s">
        <v>695</v>
      </c>
      <c r="M972" t="str">
        <f t="shared" si="51"/>
        <v>abx_challengedresearch</v>
      </c>
      <c r="N972" t="s">
        <v>28</v>
      </c>
      <c r="O972" t="s">
        <v>810</v>
      </c>
      <c r="P972" t="s">
        <v>885</v>
      </c>
      <c r="Q972">
        <f>E972</f>
        <v>444.15366171933516</v>
      </c>
    </row>
    <row r="973" spans="1:17" x14ac:dyDescent="0.2">
      <c r="A973" t="s">
        <v>888</v>
      </c>
      <c r="B973" s="1">
        <v>0</v>
      </c>
      <c r="C973" t="s">
        <v>16</v>
      </c>
      <c r="D973">
        <v>0</v>
      </c>
      <c r="E973">
        <v>0</v>
      </c>
      <c r="F973" t="s">
        <v>19</v>
      </c>
      <c r="G973" t="s">
        <v>36</v>
      </c>
      <c r="H973" t="s">
        <v>37</v>
      </c>
      <c r="I973">
        <v>574.78589750000003</v>
      </c>
      <c r="J973" t="s">
        <v>37</v>
      </c>
      <c r="K973">
        <f>E972</f>
        <v>444.15366171933516</v>
      </c>
      <c r="L973" t="s">
        <v>695</v>
      </c>
      <c r="M973" t="str">
        <f t="shared" si="51"/>
        <v>controlresearch</v>
      </c>
      <c r="N973" t="s">
        <v>28</v>
      </c>
      <c r="O973" t="s">
        <v>810</v>
      </c>
      <c r="P973" t="s">
        <v>885</v>
      </c>
      <c r="Q973" t="s">
        <v>16</v>
      </c>
    </row>
    <row r="974" spans="1:17" x14ac:dyDescent="0.2">
      <c r="A974" t="s">
        <v>1153</v>
      </c>
      <c r="B974" s="1">
        <v>0</v>
      </c>
      <c r="C974">
        <v>829254711.60000002</v>
      </c>
      <c r="D974">
        <v>49755282.700000003</v>
      </c>
      <c r="E974">
        <v>9951056539</v>
      </c>
      <c r="F974" t="s">
        <v>33</v>
      </c>
      <c r="G974" t="s">
        <v>36</v>
      </c>
      <c r="H974" t="s">
        <v>37</v>
      </c>
      <c r="I974">
        <v>717199.85620000004</v>
      </c>
      <c r="J974" t="s">
        <v>38</v>
      </c>
      <c r="K974">
        <v>26509248.149999999</v>
      </c>
      <c r="L974" t="s">
        <v>695</v>
      </c>
      <c r="M974" t="str">
        <f t="shared" si="51"/>
        <v>controlresearch</v>
      </c>
      <c r="N974" t="s">
        <v>28</v>
      </c>
      <c r="O974" t="s">
        <v>810</v>
      </c>
      <c r="P974" t="s">
        <v>885</v>
      </c>
      <c r="Q974" t="s">
        <v>16</v>
      </c>
    </row>
    <row r="975" spans="1:17" x14ac:dyDescent="0.2">
      <c r="A975" t="s">
        <v>889</v>
      </c>
      <c r="B975" s="1">
        <v>0</v>
      </c>
      <c r="C975" t="s">
        <v>16</v>
      </c>
      <c r="D975">
        <v>0</v>
      </c>
      <c r="E975">
        <v>0</v>
      </c>
      <c r="F975" t="s">
        <v>17</v>
      </c>
      <c r="G975" t="s">
        <v>36</v>
      </c>
      <c r="H975" t="s">
        <v>38</v>
      </c>
      <c r="I975">
        <v>121241551.09999999</v>
      </c>
      <c r="J975" t="s">
        <v>38</v>
      </c>
      <c r="K975">
        <v>7182663.0049999999</v>
      </c>
      <c r="L975" t="s">
        <v>695</v>
      </c>
      <c r="M975" t="str">
        <f t="shared" si="51"/>
        <v>controlresearch</v>
      </c>
      <c r="N975" t="s">
        <v>28</v>
      </c>
      <c r="O975" t="s">
        <v>810</v>
      </c>
      <c r="P975" t="s">
        <v>885</v>
      </c>
      <c r="Q975" t="s">
        <v>16</v>
      </c>
    </row>
    <row r="976" spans="1:17" x14ac:dyDescent="0.2">
      <c r="A976" t="s">
        <v>1154</v>
      </c>
      <c r="B976">
        <v>0.13850756</v>
      </c>
      <c r="C976">
        <v>59766.65468</v>
      </c>
      <c r="D976">
        <v>3585.9992809999999</v>
      </c>
      <c r="E976">
        <v>717199.85620000004</v>
      </c>
      <c r="F976" t="s">
        <v>33</v>
      </c>
      <c r="G976" t="s">
        <v>41</v>
      </c>
      <c r="H976" t="s">
        <v>16</v>
      </c>
      <c r="I976" t="s">
        <v>16</v>
      </c>
      <c r="J976" t="s">
        <v>16</v>
      </c>
      <c r="K976" t="s">
        <v>16</v>
      </c>
      <c r="L976" t="s">
        <v>695</v>
      </c>
      <c r="M976" t="str">
        <f t="shared" si="51"/>
        <v>challengedresearch</v>
      </c>
      <c r="N976" t="s">
        <v>28</v>
      </c>
      <c r="O976" t="s">
        <v>810</v>
      </c>
      <c r="P976" t="s">
        <v>885</v>
      </c>
      <c r="Q976">
        <v>-602621.75619999995</v>
      </c>
    </row>
    <row r="977" spans="1:17" x14ac:dyDescent="0.2">
      <c r="A977" t="s">
        <v>890</v>
      </c>
      <c r="B977">
        <v>0.12450214800000001</v>
      </c>
      <c r="C977">
        <v>20.692292309146602</v>
      </c>
      <c r="D977">
        <v>2.8739294873814725</v>
      </c>
      <c r="E977">
        <f>D977*200</f>
        <v>574.78589747629451</v>
      </c>
      <c r="F977" t="s">
        <v>19</v>
      </c>
      <c r="G977" t="s">
        <v>41</v>
      </c>
      <c r="H977" t="s">
        <v>16</v>
      </c>
      <c r="I977" t="s">
        <v>16</v>
      </c>
      <c r="J977" t="s">
        <v>16</v>
      </c>
      <c r="K977" t="s">
        <v>16</v>
      </c>
      <c r="L977" t="s">
        <v>695</v>
      </c>
      <c r="M977" t="str">
        <f t="shared" si="51"/>
        <v>challengedresearch</v>
      </c>
      <c r="N977" t="s">
        <v>28</v>
      </c>
      <c r="O977" t="s">
        <v>810</v>
      </c>
      <c r="P977" t="s">
        <v>885</v>
      </c>
      <c r="Q977">
        <f>E977</f>
        <v>574.78589747629451</v>
      </c>
    </row>
    <row r="978" spans="1:17" x14ac:dyDescent="0.2">
      <c r="A978" t="s">
        <v>891</v>
      </c>
      <c r="B978">
        <v>0.105470775</v>
      </c>
      <c r="C978">
        <v>10103462.59</v>
      </c>
      <c r="D978">
        <v>606207.75549999997</v>
      </c>
      <c r="E978">
        <v>121241551.09999999</v>
      </c>
      <c r="F978" t="s">
        <v>17</v>
      </c>
      <c r="G978" t="s">
        <v>41</v>
      </c>
      <c r="H978" t="s">
        <v>16</v>
      </c>
      <c r="I978" t="s">
        <v>16</v>
      </c>
      <c r="J978" t="s">
        <v>16</v>
      </c>
      <c r="K978" t="s">
        <v>16</v>
      </c>
      <c r="L978" t="s">
        <v>695</v>
      </c>
      <c r="M978" t="str">
        <f t="shared" si="51"/>
        <v>challengedresearch</v>
      </c>
      <c r="N978" t="s">
        <v>28</v>
      </c>
      <c r="O978" t="s">
        <v>810</v>
      </c>
      <c r="P978" t="s">
        <v>885</v>
      </c>
      <c r="Q978">
        <v>606207.75549999997</v>
      </c>
    </row>
    <row r="979" spans="1:17" x14ac:dyDescent="0.2">
      <c r="A979" t="s">
        <v>892</v>
      </c>
      <c r="B979" t="s">
        <v>16</v>
      </c>
      <c r="C979" t="s">
        <v>16</v>
      </c>
      <c r="D979" t="s">
        <v>16</v>
      </c>
      <c r="E979" t="s">
        <v>16</v>
      </c>
      <c r="F979" t="s">
        <v>26</v>
      </c>
      <c r="G979" t="s">
        <v>26</v>
      </c>
      <c r="H979" t="s">
        <v>16</v>
      </c>
      <c r="I979" t="s">
        <v>16</v>
      </c>
      <c r="J979" t="s">
        <v>16</v>
      </c>
      <c r="K979" t="s">
        <v>16</v>
      </c>
      <c r="L979" t="s">
        <v>695</v>
      </c>
      <c r="M979" t="str">
        <f t="shared" si="51"/>
        <v>fecalresearch</v>
      </c>
      <c r="N979" t="s">
        <v>28</v>
      </c>
      <c r="O979" t="s">
        <v>810</v>
      </c>
      <c r="P979" t="s">
        <v>893</v>
      </c>
      <c r="Q979" t="s">
        <v>16</v>
      </c>
    </row>
    <row r="980" spans="1:17" x14ac:dyDescent="0.2">
      <c r="A980" t="s">
        <v>894</v>
      </c>
      <c r="B980">
        <v>9.5507044999999999E-2</v>
      </c>
      <c r="C980">
        <v>975.40239999999994</v>
      </c>
      <c r="D980">
        <v>90.315037040000007</v>
      </c>
      <c r="E980">
        <v>18063.007409999998</v>
      </c>
      <c r="F980" t="s">
        <v>19</v>
      </c>
      <c r="G980" t="s">
        <v>32</v>
      </c>
      <c r="H980" t="s">
        <v>16</v>
      </c>
      <c r="I980" t="s">
        <v>16</v>
      </c>
      <c r="J980" t="s">
        <v>16</v>
      </c>
      <c r="K980" t="s">
        <v>16</v>
      </c>
      <c r="L980" t="s">
        <v>695</v>
      </c>
      <c r="M980" t="str">
        <f t="shared" si="51"/>
        <v>abx_challengedresearch</v>
      </c>
      <c r="N980" t="s">
        <v>28</v>
      </c>
      <c r="O980" t="s">
        <v>810</v>
      </c>
      <c r="P980" t="s">
        <v>893</v>
      </c>
      <c r="Q980">
        <v>90.315037040000007</v>
      </c>
    </row>
    <row r="981" spans="1:17" x14ac:dyDescent="0.2">
      <c r="A981" t="s">
        <v>1155</v>
      </c>
      <c r="B981">
        <v>0.115769128</v>
      </c>
      <c r="C981">
        <v>41603795.770000003</v>
      </c>
      <c r="D981">
        <v>249622.7746</v>
      </c>
      <c r="E981">
        <v>49924554.920000002</v>
      </c>
      <c r="F981" t="s">
        <v>33</v>
      </c>
      <c r="G981" t="s">
        <v>32</v>
      </c>
      <c r="H981" t="s">
        <v>16</v>
      </c>
      <c r="I981" t="s">
        <v>16</v>
      </c>
      <c r="J981" t="s">
        <v>16</v>
      </c>
      <c r="K981" t="s">
        <v>16</v>
      </c>
      <c r="L981" t="s">
        <v>695</v>
      </c>
      <c r="M981" t="str">
        <f t="shared" si="51"/>
        <v>abx_challengedresearch</v>
      </c>
      <c r="N981" t="s">
        <v>28</v>
      </c>
      <c r="O981" t="s">
        <v>810</v>
      </c>
      <c r="P981" t="s">
        <v>893</v>
      </c>
      <c r="Q981">
        <v>249622.7746</v>
      </c>
    </row>
    <row r="982" spans="1:17" x14ac:dyDescent="0.2">
      <c r="A982" t="s">
        <v>895</v>
      </c>
      <c r="B982">
        <v>0.26041598100000002</v>
      </c>
      <c r="C982">
        <v>10430587.390000001</v>
      </c>
      <c r="D982">
        <v>62583.524340000004</v>
      </c>
      <c r="E982">
        <v>12516704.869999999</v>
      </c>
      <c r="F982" t="s">
        <v>17</v>
      </c>
      <c r="G982" t="s">
        <v>32</v>
      </c>
      <c r="H982" t="s">
        <v>16</v>
      </c>
      <c r="I982" t="s">
        <v>16</v>
      </c>
      <c r="J982" t="s">
        <v>16</v>
      </c>
      <c r="K982" t="s">
        <v>16</v>
      </c>
      <c r="L982" t="s">
        <v>695</v>
      </c>
      <c r="M982" t="str">
        <f t="shared" ref="M982:M1002" si="54">CONCATENATE(G982, L982)</f>
        <v>abx_challengedresearch</v>
      </c>
      <c r="N982" t="s">
        <v>28</v>
      </c>
      <c r="O982" t="s">
        <v>810</v>
      </c>
      <c r="P982" t="s">
        <v>893</v>
      </c>
      <c r="Q982">
        <v>62583.524340000004</v>
      </c>
    </row>
    <row r="983" spans="1:17" x14ac:dyDescent="0.2">
      <c r="A983" t="s">
        <v>896</v>
      </c>
      <c r="B983" s="1">
        <v>0</v>
      </c>
      <c r="C983" t="s">
        <v>16</v>
      </c>
      <c r="D983">
        <v>0</v>
      </c>
      <c r="E983">
        <v>0</v>
      </c>
      <c r="F983" t="s">
        <v>19</v>
      </c>
      <c r="G983" t="s">
        <v>36</v>
      </c>
      <c r="H983" t="s">
        <v>37</v>
      </c>
      <c r="I983">
        <v>0</v>
      </c>
      <c r="J983" t="s">
        <v>37</v>
      </c>
      <c r="K983">
        <v>18063.007409999998</v>
      </c>
      <c r="L983" t="s">
        <v>695</v>
      </c>
      <c r="M983" t="str">
        <f t="shared" si="54"/>
        <v>controlresearch</v>
      </c>
      <c r="N983" t="s">
        <v>28</v>
      </c>
      <c r="O983" t="s">
        <v>810</v>
      </c>
      <c r="P983" t="s">
        <v>893</v>
      </c>
      <c r="Q983" t="s">
        <v>16</v>
      </c>
    </row>
    <row r="984" spans="1:17" x14ac:dyDescent="0.2">
      <c r="A984" t="s">
        <v>1156</v>
      </c>
      <c r="B984" s="1">
        <v>0</v>
      </c>
      <c r="C984">
        <v>48348372.840000004</v>
      </c>
      <c r="D984">
        <v>2900902.37</v>
      </c>
      <c r="E984">
        <v>580180474</v>
      </c>
      <c r="F984" t="s">
        <v>33</v>
      </c>
      <c r="G984" t="s">
        <v>36</v>
      </c>
      <c r="H984" t="s">
        <v>38</v>
      </c>
      <c r="I984">
        <v>2075576.281</v>
      </c>
      <c r="J984" t="s">
        <v>38</v>
      </c>
      <c r="K984">
        <v>49924554.920000002</v>
      </c>
      <c r="L984" t="s">
        <v>695</v>
      </c>
      <c r="M984" t="str">
        <f t="shared" si="54"/>
        <v>controlresearch</v>
      </c>
      <c r="N984" t="s">
        <v>28</v>
      </c>
      <c r="O984" t="s">
        <v>810</v>
      </c>
      <c r="P984" t="s">
        <v>893</v>
      </c>
      <c r="Q984" t="s">
        <v>16</v>
      </c>
    </row>
    <row r="985" spans="1:17" x14ac:dyDescent="0.2">
      <c r="A985" t="s">
        <v>897</v>
      </c>
      <c r="B985" s="1">
        <v>0</v>
      </c>
      <c r="C985" t="s">
        <v>16</v>
      </c>
      <c r="D985">
        <v>0</v>
      </c>
      <c r="E985">
        <v>0</v>
      </c>
      <c r="F985" t="s">
        <v>17</v>
      </c>
      <c r="G985" t="s">
        <v>36</v>
      </c>
      <c r="H985" t="s">
        <v>37</v>
      </c>
      <c r="I985">
        <v>0</v>
      </c>
      <c r="J985" t="s">
        <v>38</v>
      </c>
      <c r="K985">
        <v>12516704.869999999</v>
      </c>
      <c r="L985" t="s">
        <v>695</v>
      </c>
      <c r="M985" t="str">
        <f t="shared" si="54"/>
        <v>controlresearch</v>
      </c>
      <c r="N985" t="s">
        <v>28</v>
      </c>
      <c r="O985" t="s">
        <v>810</v>
      </c>
      <c r="P985" t="s">
        <v>893</v>
      </c>
      <c r="Q985" t="s">
        <v>16</v>
      </c>
    </row>
    <row r="986" spans="1:17" x14ac:dyDescent="0.2">
      <c r="A986" t="s">
        <v>898</v>
      </c>
      <c r="B986">
        <v>0.128481541</v>
      </c>
      <c r="C986">
        <v>7.9348383990000002</v>
      </c>
      <c r="D986">
        <v>0</v>
      </c>
      <c r="E986">
        <v>0</v>
      </c>
      <c r="F986" t="s">
        <v>19</v>
      </c>
      <c r="G986" t="s">
        <v>41</v>
      </c>
      <c r="H986" t="s">
        <v>16</v>
      </c>
      <c r="I986" t="s">
        <v>16</v>
      </c>
      <c r="J986" t="s">
        <v>16</v>
      </c>
      <c r="K986" t="s">
        <v>16</v>
      </c>
      <c r="L986" t="s">
        <v>695</v>
      </c>
      <c r="M986" t="str">
        <f t="shared" si="54"/>
        <v>challengedresearch</v>
      </c>
      <c r="N986" t="s">
        <v>28</v>
      </c>
      <c r="O986" t="s">
        <v>810</v>
      </c>
      <c r="P986" t="s">
        <v>893</v>
      </c>
      <c r="Q986">
        <v>0</v>
      </c>
    </row>
    <row r="987" spans="1:17" x14ac:dyDescent="0.2">
      <c r="A987" t="s">
        <v>1157</v>
      </c>
      <c r="B987">
        <v>7.3595525999999994E-2</v>
      </c>
      <c r="C987">
        <v>172964.69010000001</v>
      </c>
      <c r="D987">
        <v>10377.88141</v>
      </c>
      <c r="E987">
        <v>2075576.281</v>
      </c>
      <c r="F987" t="s">
        <v>33</v>
      </c>
      <c r="G987" t="s">
        <v>41</v>
      </c>
      <c r="H987" t="s">
        <v>16</v>
      </c>
      <c r="I987" t="s">
        <v>16</v>
      </c>
      <c r="J987" t="s">
        <v>16</v>
      </c>
      <c r="K987" t="s">
        <v>16</v>
      </c>
      <c r="L987" t="s">
        <v>695</v>
      </c>
      <c r="M987" t="str">
        <f t="shared" si="54"/>
        <v>challengedresearch</v>
      </c>
      <c r="N987" t="s">
        <v>28</v>
      </c>
      <c r="O987" t="s">
        <v>810</v>
      </c>
      <c r="P987" t="s">
        <v>893</v>
      </c>
      <c r="Q987">
        <v>10377.88141</v>
      </c>
    </row>
    <row r="988" spans="1:17" x14ac:dyDescent="0.2">
      <c r="A988" t="s">
        <v>899</v>
      </c>
      <c r="B988">
        <v>5.0851425999999998E-2</v>
      </c>
      <c r="C988" t="s">
        <v>16</v>
      </c>
      <c r="D988">
        <v>0</v>
      </c>
      <c r="E988">
        <v>0</v>
      </c>
      <c r="F988" t="s">
        <v>17</v>
      </c>
      <c r="G988" t="s">
        <v>41</v>
      </c>
      <c r="H988" t="s">
        <v>16</v>
      </c>
      <c r="I988" t="s">
        <v>16</v>
      </c>
      <c r="J988" t="s">
        <v>16</v>
      </c>
      <c r="K988" t="s">
        <v>16</v>
      </c>
      <c r="L988" t="s">
        <v>695</v>
      </c>
      <c r="M988" t="str">
        <f t="shared" si="54"/>
        <v>challengedresearch</v>
      </c>
      <c r="N988" t="s">
        <v>28</v>
      </c>
      <c r="O988" t="s">
        <v>810</v>
      </c>
      <c r="P988" t="s">
        <v>893</v>
      </c>
      <c r="Q988">
        <v>0</v>
      </c>
    </row>
    <row r="989" spans="1:17" x14ac:dyDescent="0.2">
      <c r="A989" t="s">
        <v>900</v>
      </c>
      <c r="B989" t="s">
        <v>16</v>
      </c>
      <c r="C989" s="1" t="s">
        <v>16</v>
      </c>
      <c r="D989" s="1" t="s">
        <v>16</v>
      </c>
      <c r="E989" t="s">
        <v>16</v>
      </c>
      <c r="F989" t="s">
        <v>26</v>
      </c>
      <c r="G989" t="s">
        <v>26</v>
      </c>
      <c r="H989" t="s">
        <v>16</v>
      </c>
      <c r="I989" t="s">
        <v>16</v>
      </c>
      <c r="J989" t="s">
        <v>16</v>
      </c>
      <c r="K989" t="s">
        <v>16</v>
      </c>
      <c r="L989" t="s">
        <v>695</v>
      </c>
      <c r="M989" t="str">
        <f t="shared" si="54"/>
        <v>fecalresearch</v>
      </c>
      <c r="N989" t="s">
        <v>28</v>
      </c>
      <c r="O989" t="s">
        <v>810</v>
      </c>
      <c r="P989" t="s">
        <v>901</v>
      </c>
      <c r="Q989" t="s">
        <v>16</v>
      </c>
    </row>
    <row r="990" spans="1:17" x14ac:dyDescent="0.2">
      <c r="A990" t="s">
        <v>902</v>
      </c>
      <c r="B990">
        <v>0.1202221</v>
      </c>
      <c r="C990">
        <v>32.360467201573393</v>
      </c>
      <c r="D990">
        <v>2.99633955570124</v>
      </c>
      <c r="E990">
        <f>D990*200</f>
        <v>599.26791114024797</v>
      </c>
      <c r="F990" t="s">
        <v>19</v>
      </c>
      <c r="G990" t="s">
        <v>32</v>
      </c>
      <c r="H990" t="s">
        <v>16</v>
      </c>
      <c r="I990" t="s">
        <v>16</v>
      </c>
      <c r="J990" t="s">
        <v>16</v>
      </c>
      <c r="K990" t="s">
        <v>16</v>
      </c>
      <c r="L990" t="s">
        <v>695</v>
      </c>
      <c r="M990" t="str">
        <f t="shared" si="54"/>
        <v>abx_challengedresearch</v>
      </c>
      <c r="N990" t="s">
        <v>28</v>
      </c>
      <c r="O990" t="s">
        <v>810</v>
      </c>
      <c r="P990" t="s">
        <v>901</v>
      </c>
      <c r="Q990">
        <f>E990-E991</f>
        <v>281.9387521512424</v>
      </c>
    </row>
    <row r="991" spans="1:17" x14ac:dyDescent="0.2">
      <c r="A991" t="s">
        <v>903</v>
      </c>
      <c r="B991">
        <v>0</v>
      </c>
      <c r="C991">
        <v>17.135774585406299</v>
      </c>
      <c r="D991">
        <v>1.5866457949450279</v>
      </c>
      <c r="E991">
        <f t="shared" ref="E991:E992" si="55">D991*200</f>
        <v>317.32915898900558</v>
      </c>
      <c r="F991" t="s">
        <v>19</v>
      </c>
      <c r="G991" t="s">
        <v>36</v>
      </c>
      <c r="H991" t="s">
        <v>37</v>
      </c>
      <c r="I991">
        <f>E992</f>
        <v>471.90552626989881</v>
      </c>
      <c r="J991" t="s">
        <v>37</v>
      </c>
      <c r="K991">
        <f>E990</f>
        <v>599.26791114024797</v>
      </c>
      <c r="L991" t="s">
        <v>695</v>
      </c>
      <c r="M991" t="str">
        <f t="shared" si="54"/>
        <v>controlresearch</v>
      </c>
      <c r="N991" t="s">
        <v>28</v>
      </c>
      <c r="O991" t="s">
        <v>810</v>
      </c>
      <c r="P991" t="s">
        <v>901</v>
      </c>
      <c r="Q991" t="s">
        <v>16</v>
      </c>
    </row>
    <row r="992" spans="1:17" x14ac:dyDescent="0.2">
      <c r="A992" t="s">
        <v>904</v>
      </c>
      <c r="B992">
        <v>0.12374998299999999</v>
      </c>
      <c r="C992">
        <v>25.482898418574536</v>
      </c>
      <c r="D992">
        <v>2.3595276313494939</v>
      </c>
      <c r="E992">
        <f t="shared" si="55"/>
        <v>471.90552626989881</v>
      </c>
      <c r="F992" t="s">
        <v>19</v>
      </c>
      <c r="G992" t="s">
        <v>41</v>
      </c>
      <c r="H992" t="s">
        <v>16</v>
      </c>
      <c r="I992" t="s">
        <v>16</v>
      </c>
      <c r="J992" t="s">
        <v>16</v>
      </c>
      <c r="K992" t="s">
        <v>16</v>
      </c>
      <c r="L992" t="s">
        <v>695</v>
      </c>
      <c r="M992" t="str">
        <f t="shared" si="54"/>
        <v>challengedresearch</v>
      </c>
      <c r="N992" t="s">
        <v>28</v>
      </c>
      <c r="O992" t="s">
        <v>810</v>
      </c>
      <c r="P992" t="s">
        <v>901</v>
      </c>
      <c r="Q992">
        <f>E992-E991</f>
        <v>154.57636728089324</v>
      </c>
    </row>
    <row r="993" spans="1:17" x14ac:dyDescent="0.2">
      <c r="A993" t="s">
        <v>905</v>
      </c>
      <c r="B993" t="s">
        <v>16</v>
      </c>
      <c r="C993" t="s">
        <v>16</v>
      </c>
      <c r="D993" t="s">
        <v>16</v>
      </c>
      <c r="E993" t="s">
        <v>16</v>
      </c>
      <c r="F993" t="s">
        <v>26</v>
      </c>
      <c r="G993" t="s">
        <v>26</v>
      </c>
      <c r="H993" t="s">
        <v>16</v>
      </c>
      <c r="I993" t="s">
        <v>16</v>
      </c>
      <c r="J993" t="s">
        <v>16</v>
      </c>
      <c r="K993" t="s">
        <v>16</v>
      </c>
      <c r="L993" t="s">
        <v>695</v>
      </c>
      <c r="M993" t="str">
        <f t="shared" si="54"/>
        <v>fecalresearch</v>
      </c>
      <c r="N993" t="s">
        <v>28</v>
      </c>
      <c r="O993" t="s">
        <v>810</v>
      </c>
      <c r="P993" t="s">
        <v>906</v>
      </c>
      <c r="Q993" t="s">
        <v>16</v>
      </c>
    </row>
    <row r="994" spans="1:17" x14ac:dyDescent="0.2">
      <c r="A994" t="s">
        <v>907</v>
      </c>
      <c r="B994">
        <v>0.11985878</v>
      </c>
      <c r="C994">
        <v>21.765284359999999</v>
      </c>
      <c r="D994">
        <v>0</v>
      </c>
      <c r="E994">
        <v>0</v>
      </c>
      <c r="F994" t="s">
        <v>19</v>
      </c>
      <c r="G994" t="s">
        <v>32</v>
      </c>
      <c r="H994" t="s">
        <v>16</v>
      </c>
      <c r="I994" t="s">
        <v>16</v>
      </c>
      <c r="J994" t="s">
        <v>16</v>
      </c>
      <c r="K994" t="s">
        <v>16</v>
      </c>
      <c r="L994" t="s">
        <v>695</v>
      </c>
      <c r="M994" t="str">
        <f t="shared" si="54"/>
        <v>abx_challengedresearch</v>
      </c>
      <c r="N994" t="s">
        <v>28</v>
      </c>
      <c r="O994" t="s">
        <v>810</v>
      </c>
      <c r="P994" t="s">
        <v>906</v>
      </c>
      <c r="Q994">
        <v>0</v>
      </c>
    </row>
    <row r="995" spans="1:17" x14ac:dyDescent="0.2">
      <c r="A995" t="s">
        <v>1158</v>
      </c>
      <c r="B995">
        <v>0.136817729</v>
      </c>
      <c r="C995">
        <v>17846844.239999998</v>
      </c>
      <c r="D995">
        <v>107081.06540000001</v>
      </c>
      <c r="E995">
        <v>21416213.09</v>
      </c>
      <c r="F995" t="s">
        <v>33</v>
      </c>
      <c r="G995" t="s">
        <v>32</v>
      </c>
      <c r="H995" t="s">
        <v>16</v>
      </c>
      <c r="I995" t="s">
        <v>16</v>
      </c>
      <c r="J995" t="s">
        <v>16</v>
      </c>
      <c r="K995" t="s">
        <v>16</v>
      </c>
      <c r="L995" t="s">
        <v>695</v>
      </c>
      <c r="M995" t="str">
        <f t="shared" si="54"/>
        <v>abx_challengedresearch</v>
      </c>
      <c r="N995" t="s">
        <v>28</v>
      </c>
      <c r="O995" t="s">
        <v>810</v>
      </c>
      <c r="P995" t="s">
        <v>906</v>
      </c>
      <c r="Q995">
        <v>107081.06540000001</v>
      </c>
    </row>
    <row r="996" spans="1:17" x14ac:dyDescent="0.2">
      <c r="A996" t="s">
        <v>908</v>
      </c>
      <c r="B996">
        <v>0.206332405</v>
      </c>
      <c r="C996">
        <v>8739256.0160000008</v>
      </c>
      <c r="D996">
        <v>52435.536099999998</v>
      </c>
      <c r="E996">
        <v>10487107.220000001</v>
      </c>
      <c r="F996" t="s">
        <v>17</v>
      </c>
      <c r="G996" t="s">
        <v>32</v>
      </c>
      <c r="H996" t="s">
        <v>16</v>
      </c>
      <c r="I996" t="s">
        <v>16</v>
      </c>
      <c r="J996" t="s">
        <v>16</v>
      </c>
      <c r="K996" t="s">
        <v>16</v>
      </c>
      <c r="L996" t="s">
        <v>695</v>
      </c>
      <c r="M996" t="str">
        <f t="shared" si="54"/>
        <v>abx_challengedresearch</v>
      </c>
      <c r="N996" t="s">
        <v>28</v>
      </c>
      <c r="O996" t="s">
        <v>810</v>
      </c>
      <c r="P996" t="s">
        <v>906</v>
      </c>
      <c r="Q996">
        <v>52435.536099999998</v>
      </c>
    </row>
    <row r="997" spans="1:17" x14ac:dyDescent="0.2">
      <c r="A997" t="s">
        <v>909</v>
      </c>
      <c r="B997" s="1">
        <v>0</v>
      </c>
      <c r="C997">
        <v>18.048485939999999</v>
      </c>
      <c r="D997">
        <v>0</v>
      </c>
      <c r="E997">
        <v>0</v>
      </c>
      <c r="F997" t="s">
        <v>19</v>
      </c>
      <c r="G997" t="s">
        <v>36</v>
      </c>
      <c r="H997" t="s">
        <v>37</v>
      </c>
      <c r="I997">
        <v>0</v>
      </c>
      <c r="J997" t="s">
        <v>37</v>
      </c>
      <c r="K997">
        <v>0</v>
      </c>
      <c r="L997" t="s">
        <v>695</v>
      </c>
      <c r="M997" t="str">
        <f t="shared" si="54"/>
        <v>controlresearch</v>
      </c>
      <c r="N997" t="s">
        <v>28</v>
      </c>
      <c r="O997" t="s">
        <v>810</v>
      </c>
      <c r="P997" t="s">
        <v>906</v>
      </c>
      <c r="Q997" t="s">
        <v>16</v>
      </c>
    </row>
    <row r="998" spans="1:17" x14ac:dyDescent="0.2">
      <c r="A998" t="s">
        <v>1159</v>
      </c>
      <c r="B998" s="1">
        <v>0</v>
      </c>
      <c r="C998">
        <v>970573576.29999995</v>
      </c>
      <c r="D998">
        <v>58234414.579999998</v>
      </c>
      <c r="E998">
        <v>11646882916</v>
      </c>
      <c r="F998" t="s">
        <v>33</v>
      </c>
      <c r="G998" t="s">
        <v>36</v>
      </c>
      <c r="H998" t="s">
        <v>37</v>
      </c>
      <c r="I998">
        <v>0</v>
      </c>
      <c r="J998" t="s">
        <v>38</v>
      </c>
      <c r="K998">
        <v>21416213.09</v>
      </c>
      <c r="L998" t="s">
        <v>695</v>
      </c>
      <c r="M998" t="str">
        <f t="shared" si="54"/>
        <v>controlresearch</v>
      </c>
      <c r="N998" t="s">
        <v>28</v>
      </c>
      <c r="O998" t="s">
        <v>810</v>
      </c>
      <c r="P998" t="s">
        <v>906</v>
      </c>
      <c r="Q998" t="s">
        <v>16</v>
      </c>
    </row>
    <row r="999" spans="1:17" x14ac:dyDescent="0.2">
      <c r="A999" t="s">
        <v>910</v>
      </c>
      <c r="B999" s="1">
        <v>0</v>
      </c>
      <c r="C999" t="s">
        <v>16</v>
      </c>
      <c r="D999">
        <v>0</v>
      </c>
      <c r="E999">
        <v>0</v>
      </c>
      <c r="F999" t="s">
        <v>17</v>
      </c>
      <c r="G999" t="s">
        <v>36</v>
      </c>
      <c r="H999" t="s">
        <v>38</v>
      </c>
      <c r="I999">
        <v>79144231.469999999</v>
      </c>
      <c r="J999" t="s">
        <v>38</v>
      </c>
      <c r="K999">
        <v>10487107.220000001</v>
      </c>
      <c r="L999" t="s">
        <v>695</v>
      </c>
      <c r="M999" t="str">
        <f t="shared" si="54"/>
        <v>controlresearch</v>
      </c>
      <c r="N999" t="s">
        <v>28</v>
      </c>
      <c r="O999" t="s">
        <v>810</v>
      </c>
      <c r="P999" t="s">
        <v>906</v>
      </c>
      <c r="Q999" t="s">
        <v>16</v>
      </c>
    </row>
    <row r="1000" spans="1:17" x14ac:dyDescent="0.2">
      <c r="A1000" t="s">
        <v>911</v>
      </c>
      <c r="B1000">
        <v>0.12457233500000001</v>
      </c>
      <c r="C1000">
        <v>45.920241679999997</v>
      </c>
      <c r="D1000">
        <v>0</v>
      </c>
      <c r="E1000">
        <v>0</v>
      </c>
      <c r="F1000" t="s">
        <v>19</v>
      </c>
      <c r="G1000" t="s">
        <v>41</v>
      </c>
      <c r="H1000" t="s">
        <v>16</v>
      </c>
      <c r="I1000" t="s">
        <v>16</v>
      </c>
      <c r="J1000" t="s">
        <v>16</v>
      </c>
      <c r="K1000" t="s">
        <v>16</v>
      </c>
      <c r="L1000" t="s">
        <v>695</v>
      </c>
      <c r="M1000" t="str">
        <f t="shared" si="54"/>
        <v>challengedresearch</v>
      </c>
      <c r="N1000" t="s">
        <v>28</v>
      </c>
      <c r="O1000" t="s">
        <v>810</v>
      </c>
      <c r="P1000" t="s">
        <v>906</v>
      </c>
      <c r="Q1000">
        <v>0</v>
      </c>
    </row>
    <row r="1001" spans="1:17" x14ac:dyDescent="0.2">
      <c r="A1001" t="s">
        <v>1160</v>
      </c>
      <c r="B1001">
        <v>0.21118232100000001</v>
      </c>
      <c r="C1001" t="s">
        <v>16</v>
      </c>
      <c r="D1001">
        <v>0</v>
      </c>
      <c r="E1001">
        <v>0</v>
      </c>
      <c r="F1001" t="s">
        <v>33</v>
      </c>
      <c r="G1001" t="s">
        <v>41</v>
      </c>
      <c r="H1001" t="s">
        <v>16</v>
      </c>
      <c r="I1001" t="s">
        <v>16</v>
      </c>
      <c r="J1001" t="s">
        <v>16</v>
      </c>
      <c r="K1001" t="s">
        <v>16</v>
      </c>
      <c r="L1001" t="s">
        <v>695</v>
      </c>
      <c r="M1001" t="str">
        <f t="shared" si="54"/>
        <v>challengedresearch</v>
      </c>
      <c r="N1001" t="s">
        <v>28</v>
      </c>
      <c r="O1001" t="s">
        <v>810</v>
      </c>
      <c r="P1001" t="s">
        <v>906</v>
      </c>
      <c r="Q1001">
        <v>-395721.15740000003</v>
      </c>
    </row>
    <row r="1002" spans="1:17" x14ac:dyDescent="0.2">
      <c r="A1002" t="s">
        <v>912</v>
      </c>
      <c r="B1002">
        <v>0.11671799200000001</v>
      </c>
      <c r="C1002">
        <v>6595352.6229999997</v>
      </c>
      <c r="D1002">
        <v>395721.15740000003</v>
      </c>
      <c r="E1002">
        <v>79144231.469999999</v>
      </c>
      <c r="F1002" t="s">
        <v>17</v>
      </c>
      <c r="G1002" t="s">
        <v>41</v>
      </c>
      <c r="H1002" t="s">
        <v>16</v>
      </c>
      <c r="I1002" t="s">
        <v>16</v>
      </c>
      <c r="J1002" t="s">
        <v>16</v>
      </c>
      <c r="K1002" t="s">
        <v>16</v>
      </c>
      <c r="L1002" t="s">
        <v>695</v>
      </c>
      <c r="M1002" t="str">
        <f t="shared" si="54"/>
        <v>challengedresearch</v>
      </c>
      <c r="N1002" t="s">
        <v>28</v>
      </c>
      <c r="O1002" t="s">
        <v>810</v>
      </c>
      <c r="P1002" t="s">
        <v>906</v>
      </c>
      <c r="Q1002">
        <v>395721.15740000003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all_metadata_01_22_2024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Sahana Kuthyar</cp:lastModifiedBy>
  <dcterms:modified xsi:type="dcterms:W3CDTF">2024-03-12T00:17:41Z</dcterms:modified>
</cp:coreProperties>
</file>